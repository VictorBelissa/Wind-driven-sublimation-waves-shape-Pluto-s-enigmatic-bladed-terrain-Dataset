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s\Desktop\Excel\"/>
    </mc:Choice>
  </mc:AlternateContent>
  <xr:revisionPtr revIDLastSave="0" documentId="13_ncr:1_{8461E6A9-5807-416B-87F7-BBE7064AB557}" xr6:coauthVersionLast="47" xr6:coauthVersionMax="47" xr10:uidLastSave="{00000000-0000-0000-0000-000000000000}"/>
  <bookViews>
    <workbookView xWindow="-108" yWindow="-108" windowWidth="23256" windowHeight="12456" activeTab="1" xr2:uid="{33704E47-0271-41C8-BECF-9D1EF0DB4B5A}"/>
  </bookViews>
  <sheets>
    <sheet name="Calculs_scale_law" sheetId="2" r:id="rId1"/>
    <sheet name="Slope_W_vs_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Q3" i="3"/>
  <c r="R4" i="3" s="1"/>
  <c r="N10" i="2"/>
  <c r="J14" i="2"/>
  <c r="M19" i="2"/>
  <c r="H18" i="2"/>
  <c r="K5" i="2"/>
  <c r="L16" i="2"/>
  <c r="M17" i="2" s="1"/>
  <c r="L15" i="2"/>
  <c r="F17" i="2"/>
  <c r="E17" i="2"/>
  <c r="E19" i="2"/>
  <c r="E16" i="2"/>
  <c r="F44" i="3"/>
  <c r="G44" i="3"/>
  <c r="M44" i="3"/>
  <c r="N44" i="3"/>
  <c r="F45" i="3"/>
  <c r="G45" i="3"/>
  <c r="M45" i="3"/>
  <c r="N45" i="3"/>
  <c r="F46" i="3"/>
  <c r="G46" i="3"/>
  <c r="M46" i="3"/>
  <c r="O46" i="3" s="1"/>
  <c r="P46" i="3" s="1"/>
  <c r="N46" i="3"/>
  <c r="F47" i="3"/>
  <c r="G47" i="3"/>
  <c r="M47" i="3"/>
  <c r="N47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M4" i="3"/>
  <c r="N4" i="3"/>
  <c r="M5" i="3"/>
  <c r="N5" i="3"/>
  <c r="M6" i="3"/>
  <c r="N6" i="3"/>
  <c r="M7" i="3"/>
  <c r="N7" i="3"/>
  <c r="O7" i="3" s="1"/>
  <c r="P7" i="3" s="1"/>
  <c r="M8" i="3"/>
  <c r="N8" i="3"/>
  <c r="M9" i="3"/>
  <c r="N9" i="3"/>
  <c r="M10" i="3"/>
  <c r="N10" i="3"/>
  <c r="M11" i="3"/>
  <c r="N11" i="3"/>
  <c r="M12" i="3"/>
  <c r="N12" i="3"/>
  <c r="M13" i="3"/>
  <c r="N13" i="3"/>
  <c r="M14" i="3"/>
  <c r="N14" i="3"/>
  <c r="M15" i="3"/>
  <c r="N15" i="3"/>
  <c r="O15" i="3" s="1"/>
  <c r="P15" i="3" s="1"/>
  <c r="M16" i="3"/>
  <c r="N16" i="3"/>
  <c r="M17" i="3"/>
  <c r="O17" i="3" s="1"/>
  <c r="P17" i="3" s="1"/>
  <c r="N17" i="3"/>
  <c r="M18" i="3"/>
  <c r="N18" i="3"/>
  <c r="M19" i="3"/>
  <c r="N19" i="3"/>
  <c r="M20" i="3"/>
  <c r="O20" i="3" s="1"/>
  <c r="P20" i="3" s="1"/>
  <c r="N20" i="3"/>
  <c r="M21" i="3"/>
  <c r="N21" i="3"/>
  <c r="M22" i="3"/>
  <c r="N22" i="3"/>
  <c r="M23" i="3"/>
  <c r="N23" i="3"/>
  <c r="M24" i="3"/>
  <c r="N24" i="3"/>
  <c r="M25" i="3"/>
  <c r="N25" i="3"/>
  <c r="O25" i="3"/>
  <c r="P25" i="3" s="1"/>
  <c r="M26" i="3"/>
  <c r="N26" i="3"/>
  <c r="M27" i="3"/>
  <c r="N27" i="3"/>
  <c r="O27" i="3"/>
  <c r="P27" i="3" s="1"/>
  <c r="M28" i="3"/>
  <c r="N28" i="3"/>
  <c r="M29" i="3"/>
  <c r="N29" i="3"/>
  <c r="M30" i="3"/>
  <c r="N30" i="3"/>
  <c r="M31" i="3"/>
  <c r="O31" i="3" s="1"/>
  <c r="P31" i="3" s="1"/>
  <c r="N31" i="3"/>
  <c r="M32" i="3"/>
  <c r="N32" i="3"/>
  <c r="M33" i="3"/>
  <c r="N33" i="3"/>
  <c r="M34" i="3"/>
  <c r="O34" i="3" s="1"/>
  <c r="P34" i="3" s="1"/>
  <c r="N34" i="3"/>
  <c r="M35" i="3"/>
  <c r="N35" i="3"/>
  <c r="O35" i="3" s="1"/>
  <c r="P35" i="3" s="1"/>
  <c r="M36" i="3"/>
  <c r="O36" i="3" s="1"/>
  <c r="P36" i="3" s="1"/>
  <c r="N36" i="3"/>
  <c r="M37" i="3"/>
  <c r="N37" i="3"/>
  <c r="M38" i="3"/>
  <c r="N38" i="3"/>
  <c r="M39" i="3"/>
  <c r="N39" i="3"/>
  <c r="M40" i="3"/>
  <c r="N40" i="3"/>
  <c r="M41" i="3"/>
  <c r="N41" i="3"/>
  <c r="M42" i="3"/>
  <c r="N42" i="3"/>
  <c r="M43" i="3"/>
  <c r="N43" i="3"/>
  <c r="M48" i="3"/>
  <c r="N48" i="3"/>
  <c r="M49" i="3"/>
  <c r="N49" i="3"/>
  <c r="O49" i="3" s="1"/>
  <c r="P49" i="3" s="1"/>
  <c r="M50" i="3"/>
  <c r="N50" i="3"/>
  <c r="M51" i="3"/>
  <c r="N51" i="3"/>
  <c r="O51" i="3" s="1"/>
  <c r="P51" i="3" s="1"/>
  <c r="M52" i="3"/>
  <c r="O52" i="3" s="1"/>
  <c r="P52" i="3" s="1"/>
  <c r="N52" i="3"/>
  <c r="M53" i="3"/>
  <c r="N53" i="3"/>
  <c r="M54" i="3"/>
  <c r="N54" i="3"/>
  <c r="M55" i="3"/>
  <c r="N55" i="3"/>
  <c r="M56" i="3"/>
  <c r="N56" i="3"/>
  <c r="M57" i="3"/>
  <c r="N57" i="3"/>
  <c r="M58" i="3"/>
  <c r="N58" i="3"/>
  <c r="M59" i="3"/>
  <c r="N59" i="3"/>
  <c r="O59" i="3"/>
  <c r="P59" i="3" s="1"/>
  <c r="M60" i="3"/>
  <c r="N60" i="3"/>
  <c r="M61" i="3"/>
  <c r="N61" i="3"/>
  <c r="M62" i="3"/>
  <c r="N62" i="3"/>
  <c r="M63" i="3"/>
  <c r="N63" i="3"/>
  <c r="M64" i="3"/>
  <c r="N64" i="3"/>
  <c r="M65" i="3"/>
  <c r="N65" i="3"/>
  <c r="M66" i="3"/>
  <c r="N66" i="3"/>
  <c r="M67" i="3"/>
  <c r="N67" i="3"/>
  <c r="O67" i="3" s="1"/>
  <c r="P67" i="3" s="1"/>
  <c r="M68" i="3"/>
  <c r="N68" i="3"/>
  <c r="M69" i="3"/>
  <c r="N69" i="3"/>
  <c r="M70" i="3"/>
  <c r="N70" i="3"/>
  <c r="M71" i="3"/>
  <c r="N71" i="3"/>
  <c r="M72" i="3"/>
  <c r="N72" i="3"/>
  <c r="M73" i="3"/>
  <c r="O73" i="3" s="1"/>
  <c r="P73" i="3" s="1"/>
  <c r="N73" i="3"/>
  <c r="M74" i="3"/>
  <c r="N74" i="3"/>
  <c r="M75" i="3"/>
  <c r="N75" i="3"/>
  <c r="M76" i="3"/>
  <c r="N76" i="3"/>
  <c r="M77" i="3"/>
  <c r="N77" i="3"/>
  <c r="M78" i="3"/>
  <c r="N78" i="3"/>
  <c r="M79" i="3"/>
  <c r="N79" i="3"/>
  <c r="M80" i="3"/>
  <c r="N80" i="3"/>
  <c r="M81" i="3"/>
  <c r="N81" i="3"/>
  <c r="M82" i="3"/>
  <c r="N82" i="3"/>
  <c r="M83" i="3"/>
  <c r="N83" i="3"/>
  <c r="M84" i="3"/>
  <c r="N84" i="3"/>
  <c r="M85" i="3"/>
  <c r="O85" i="3" s="1"/>
  <c r="P85" i="3" s="1"/>
  <c r="N85" i="3"/>
  <c r="M86" i="3"/>
  <c r="N86" i="3"/>
  <c r="M87" i="3"/>
  <c r="N87" i="3"/>
  <c r="M88" i="3"/>
  <c r="N88" i="3"/>
  <c r="M89" i="3"/>
  <c r="N89" i="3"/>
  <c r="M90" i="3"/>
  <c r="N90" i="3"/>
  <c r="M91" i="3"/>
  <c r="N91" i="3"/>
  <c r="O91" i="3" s="1"/>
  <c r="P91" i="3" s="1"/>
  <c r="M92" i="3"/>
  <c r="N92" i="3"/>
  <c r="M93" i="3"/>
  <c r="N93" i="3"/>
  <c r="M94" i="3"/>
  <c r="N94" i="3"/>
  <c r="M95" i="3"/>
  <c r="N95" i="3"/>
  <c r="M96" i="3"/>
  <c r="N96" i="3"/>
  <c r="M98" i="3"/>
  <c r="O98" i="3" s="1"/>
  <c r="P98" i="3" s="1"/>
  <c r="N98" i="3"/>
  <c r="M99" i="3"/>
  <c r="N99" i="3"/>
  <c r="O99" i="3"/>
  <c r="P99" i="3"/>
  <c r="M100" i="3"/>
  <c r="O100" i="3" s="1"/>
  <c r="P100" i="3" s="1"/>
  <c r="N100" i="3"/>
  <c r="M101" i="3"/>
  <c r="N101" i="3"/>
  <c r="O101" i="3"/>
  <c r="P101" i="3"/>
  <c r="M102" i="3"/>
  <c r="O102" i="3" s="1"/>
  <c r="P102" i="3" s="1"/>
  <c r="N102" i="3"/>
  <c r="M103" i="3"/>
  <c r="N103" i="3"/>
  <c r="O103" i="3"/>
  <c r="P103" i="3" s="1"/>
  <c r="M104" i="3"/>
  <c r="O104" i="3" s="1"/>
  <c r="P104" i="3" s="1"/>
  <c r="N104" i="3"/>
  <c r="M105" i="3"/>
  <c r="N105" i="3"/>
  <c r="O105" i="3"/>
  <c r="P105" i="3" s="1"/>
  <c r="M106" i="3"/>
  <c r="O106" i="3" s="1"/>
  <c r="P106" i="3" s="1"/>
  <c r="N106" i="3"/>
  <c r="M107" i="3"/>
  <c r="N107" i="3"/>
  <c r="O107" i="3"/>
  <c r="P107" i="3"/>
  <c r="M108" i="3"/>
  <c r="O108" i="3" s="1"/>
  <c r="P108" i="3" s="1"/>
  <c r="N108" i="3"/>
  <c r="M109" i="3"/>
  <c r="N109" i="3"/>
  <c r="O109" i="3"/>
  <c r="P109" i="3"/>
  <c r="M110" i="3"/>
  <c r="O110" i="3" s="1"/>
  <c r="P110" i="3" s="1"/>
  <c r="N110" i="3"/>
  <c r="M111" i="3"/>
  <c r="N111" i="3"/>
  <c r="O111" i="3"/>
  <c r="P111" i="3" s="1"/>
  <c r="M112" i="3"/>
  <c r="O112" i="3" s="1"/>
  <c r="P112" i="3" s="1"/>
  <c r="N112" i="3"/>
  <c r="M113" i="3"/>
  <c r="N113" i="3"/>
  <c r="O113" i="3"/>
  <c r="P113" i="3" s="1"/>
  <c r="M114" i="3"/>
  <c r="O114" i="3" s="1"/>
  <c r="P114" i="3" s="1"/>
  <c r="N114" i="3"/>
  <c r="M115" i="3"/>
  <c r="N115" i="3"/>
  <c r="O115" i="3"/>
  <c r="P115" i="3"/>
  <c r="M116" i="3"/>
  <c r="O116" i="3" s="1"/>
  <c r="P116" i="3" s="1"/>
  <c r="N116" i="3"/>
  <c r="M117" i="3"/>
  <c r="N117" i="3"/>
  <c r="O117" i="3"/>
  <c r="P117" i="3"/>
  <c r="M118" i="3"/>
  <c r="O118" i="3" s="1"/>
  <c r="P118" i="3" s="1"/>
  <c r="N118" i="3"/>
  <c r="M119" i="3"/>
  <c r="N119" i="3"/>
  <c r="O119" i="3"/>
  <c r="P119" i="3" s="1"/>
  <c r="M120" i="3"/>
  <c r="O120" i="3" s="1"/>
  <c r="P120" i="3" s="1"/>
  <c r="N120" i="3"/>
  <c r="M121" i="3"/>
  <c r="N121" i="3"/>
  <c r="O121" i="3"/>
  <c r="P121" i="3" s="1"/>
  <c r="M122" i="3"/>
  <c r="O122" i="3" s="1"/>
  <c r="P122" i="3" s="1"/>
  <c r="N122" i="3"/>
  <c r="M123" i="3"/>
  <c r="N123" i="3"/>
  <c r="O123" i="3"/>
  <c r="P123" i="3"/>
  <c r="M124" i="3"/>
  <c r="O124" i="3" s="1"/>
  <c r="P124" i="3" s="1"/>
  <c r="N124" i="3"/>
  <c r="M125" i="3"/>
  <c r="N125" i="3"/>
  <c r="O125" i="3"/>
  <c r="P125" i="3"/>
  <c r="M126" i="3"/>
  <c r="O126" i="3" s="1"/>
  <c r="P126" i="3" s="1"/>
  <c r="N126" i="3"/>
  <c r="M127" i="3"/>
  <c r="N127" i="3"/>
  <c r="O127" i="3"/>
  <c r="P127" i="3" s="1"/>
  <c r="M128" i="3"/>
  <c r="O128" i="3" s="1"/>
  <c r="P128" i="3" s="1"/>
  <c r="N128" i="3"/>
  <c r="M129" i="3"/>
  <c r="N129" i="3"/>
  <c r="O129" i="3"/>
  <c r="P129" i="3" s="1"/>
  <c r="M130" i="3"/>
  <c r="O130" i="3" s="1"/>
  <c r="P130" i="3" s="1"/>
  <c r="N130" i="3"/>
  <c r="M131" i="3"/>
  <c r="N131" i="3"/>
  <c r="O131" i="3"/>
  <c r="P131" i="3"/>
  <c r="M132" i="3"/>
  <c r="O132" i="3" s="1"/>
  <c r="P132" i="3" s="1"/>
  <c r="N132" i="3"/>
  <c r="M133" i="3"/>
  <c r="N133" i="3"/>
  <c r="O133" i="3"/>
  <c r="P133" i="3"/>
  <c r="M134" i="3"/>
  <c r="O134" i="3" s="1"/>
  <c r="P134" i="3" s="1"/>
  <c r="N134" i="3"/>
  <c r="M135" i="3"/>
  <c r="N135" i="3"/>
  <c r="O135" i="3"/>
  <c r="P135" i="3" s="1"/>
  <c r="M136" i="3"/>
  <c r="O136" i="3" s="1"/>
  <c r="P136" i="3" s="1"/>
  <c r="N136" i="3"/>
  <c r="M137" i="3"/>
  <c r="N137" i="3"/>
  <c r="O137" i="3"/>
  <c r="P137" i="3" s="1"/>
  <c r="M138" i="3"/>
  <c r="O138" i="3" s="1"/>
  <c r="P138" i="3" s="1"/>
  <c r="N138" i="3"/>
  <c r="M139" i="3"/>
  <c r="N139" i="3"/>
  <c r="O139" i="3" s="1"/>
  <c r="P139" i="3" s="1"/>
  <c r="M140" i="3"/>
  <c r="O140" i="3" s="1"/>
  <c r="P140" i="3" s="1"/>
  <c r="N140" i="3"/>
  <c r="M141" i="3"/>
  <c r="N141" i="3"/>
  <c r="O141" i="3" s="1"/>
  <c r="P141" i="3" s="1"/>
  <c r="M142" i="3"/>
  <c r="N142" i="3"/>
  <c r="M143" i="3"/>
  <c r="N143" i="3"/>
  <c r="O143" i="3"/>
  <c r="P143" i="3" s="1"/>
  <c r="M144" i="3"/>
  <c r="N144" i="3"/>
  <c r="M145" i="3"/>
  <c r="N145" i="3"/>
  <c r="O145" i="3"/>
  <c r="P145" i="3" s="1"/>
  <c r="M146" i="3"/>
  <c r="O146" i="3" s="1"/>
  <c r="P146" i="3" s="1"/>
  <c r="N146" i="3"/>
  <c r="M147" i="3"/>
  <c r="N147" i="3"/>
  <c r="O147" i="3" s="1"/>
  <c r="P147" i="3" s="1"/>
  <c r="M148" i="3"/>
  <c r="O148" i="3" s="1"/>
  <c r="P148" i="3" s="1"/>
  <c r="N148" i="3"/>
  <c r="M149" i="3"/>
  <c r="N149" i="3"/>
  <c r="O149" i="3" s="1"/>
  <c r="P149" i="3" s="1"/>
  <c r="M150" i="3"/>
  <c r="N150" i="3"/>
  <c r="M151" i="3"/>
  <c r="N151" i="3"/>
  <c r="O151" i="3"/>
  <c r="P151" i="3" s="1"/>
  <c r="M152" i="3"/>
  <c r="N152" i="3"/>
  <c r="M153" i="3"/>
  <c r="N153" i="3"/>
  <c r="O153" i="3"/>
  <c r="P153" i="3" s="1"/>
  <c r="M154" i="3"/>
  <c r="O154" i="3" s="1"/>
  <c r="P154" i="3" s="1"/>
  <c r="N154" i="3"/>
  <c r="M155" i="3"/>
  <c r="N155" i="3"/>
  <c r="O155" i="3" s="1"/>
  <c r="P155" i="3" s="1"/>
  <c r="M156" i="3"/>
  <c r="O156" i="3" s="1"/>
  <c r="P156" i="3" s="1"/>
  <c r="N156" i="3"/>
  <c r="M157" i="3"/>
  <c r="N157" i="3"/>
  <c r="O157" i="3" s="1"/>
  <c r="P157" i="3" s="1"/>
  <c r="M158" i="3"/>
  <c r="N158" i="3"/>
  <c r="M159" i="3"/>
  <c r="N159" i="3"/>
  <c r="O159" i="3"/>
  <c r="P159" i="3" s="1"/>
  <c r="M160" i="3"/>
  <c r="N160" i="3"/>
  <c r="M161" i="3"/>
  <c r="N161" i="3"/>
  <c r="O161" i="3"/>
  <c r="P161" i="3" s="1"/>
  <c r="M162" i="3"/>
  <c r="O162" i="3" s="1"/>
  <c r="P162" i="3" s="1"/>
  <c r="N162" i="3"/>
  <c r="M163" i="3"/>
  <c r="N163" i="3"/>
  <c r="O163" i="3"/>
  <c r="P163" i="3"/>
  <c r="M164" i="3"/>
  <c r="N164" i="3"/>
  <c r="M165" i="3"/>
  <c r="N165" i="3"/>
  <c r="O165" i="3"/>
  <c r="P165" i="3" s="1"/>
  <c r="M166" i="3"/>
  <c r="N166" i="3"/>
  <c r="M167" i="3"/>
  <c r="N167" i="3"/>
  <c r="O167" i="3" s="1"/>
  <c r="P167" i="3" s="1"/>
  <c r="M168" i="3"/>
  <c r="O168" i="3" s="1"/>
  <c r="N168" i="3"/>
  <c r="P168" i="3"/>
  <c r="F4" i="3"/>
  <c r="G4" i="3"/>
  <c r="H4" i="3"/>
  <c r="I4" i="3" s="1"/>
  <c r="F5" i="3"/>
  <c r="H5" i="3" s="1"/>
  <c r="I5" i="3" s="1"/>
  <c r="G5" i="3"/>
  <c r="F6" i="3"/>
  <c r="G6" i="3"/>
  <c r="F7" i="3"/>
  <c r="G7" i="3"/>
  <c r="F8" i="3"/>
  <c r="H8" i="3" s="1"/>
  <c r="I8" i="3" s="1"/>
  <c r="G8" i="3"/>
  <c r="F9" i="3"/>
  <c r="H9" i="3" s="1"/>
  <c r="I9" i="3" s="1"/>
  <c r="G9" i="3"/>
  <c r="F10" i="3"/>
  <c r="G10" i="3"/>
  <c r="F11" i="3"/>
  <c r="G11" i="3"/>
  <c r="F12" i="3"/>
  <c r="G12" i="3"/>
  <c r="F13" i="3"/>
  <c r="G13" i="3"/>
  <c r="H13" i="3" s="1"/>
  <c r="I13" i="3" s="1"/>
  <c r="F14" i="3"/>
  <c r="G14" i="3"/>
  <c r="H14" i="3" s="1"/>
  <c r="I14" i="3" s="1"/>
  <c r="F15" i="3"/>
  <c r="G15" i="3"/>
  <c r="F16" i="3"/>
  <c r="G16" i="3"/>
  <c r="F17" i="3"/>
  <c r="G17" i="3"/>
  <c r="F18" i="3"/>
  <c r="G18" i="3"/>
  <c r="H18" i="3" s="1"/>
  <c r="I18" i="3" s="1"/>
  <c r="F19" i="3"/>
  <c r="G19" i="3"/>
  <c r="F20" i="3"/>
  <c r="G20" i="3"/>
  <c r="F21" i="3"/>
  <c r="G21" i="3"/>
  <c r="F22" i="3"/>
  <c r="H22" i="3" s="1"/>
  <c r="I22" i="3" s="1"/>
  <c r="G22" i="3"/>
  <c r="F23" i="3"/>
  <c r="G23" i="3"/>
  <c r="F24" i="3"/>
  <c r="G24" i="3"/>
  <c r="H24" i="3" s="1"/>
  <c r="I24" i="3" s="1"/>
  <c r="F25" i="3"/>
  <c r="G25" i="3"/>
  <c r="F26" i="3"/>
  <c r="G26" i="3"/>
  <c r="F27" i="3"/>
  <c r="G27" i="3"/>
  <c r="F28" i="3"/>
  <c r="G28" i="3"/>
  <c r="F29" i="3"/>
  <c r="G29" i="3"/>
  <c r="F30" i="3"/>
  <c r="H30" i="3" s="1"/>
  <c r="I30" i="3" s="1"/>
  <c r="G30" i="3"/>
  <c r="F31" i="3"/>
  <c r="G31" i="3"/>
  <c r="F32" i="3"/>
  <c r="G32" i="3"/>
  <c r="F33" i="3"/>
  <c r="H33" i="3" s="1"/>
  <c r="I33" i="3" s="1"/>
  <c r="G33" i="3"/>
  <c r="F34" i="3"/>
  <c r="G34" i="3"/>
  <c r="F35" i="3"/>
  <c r="G35" i="3"/>
  <c r="H35" i="3" s="1"/>
  <c r="I35" i="3" s="1"/>
  <c r="F36" i="3"/>
  <c r="G36" i="3"/>
  <c r="F37" i="3"/>
  <c r="G37" i="3"/>
  <c r="H37" i="3" s="1"/>
  <c r="I37" i="3" s="1"/>
  <c r="F38" i="3"/>
  <c r="G38" i="3"/>
  <c r="H38" i="3" s="1"/>
  <c r="I38" i="3" s="1"/>
  <c r="F39" i="3"/>
  <c r="G39" i="3"/>
  <c r="H39" i="3" s="1"/>
  <c r="I39" i="3" s="1"/>
  <c r="F40" i="3"/>
  <c r="G40" i="3"/>
  <c r="F41" i="3"/>
  <c r="G41" i="3"/>
  <c r="F42" i="3"/>
  <c r="H42" i="3" s="1"/>
  <c r="I42" i="3" s="1"/>
  <c r="G42" i="3"/>
  <c r="F43" i="3"/>
  <c r="G43" i="3"/>
  <c r="F48" i="3"/>
  <c r="G48" i="3"/>
  <c r="F49" i="3"/>
  <c r="G49" i="3"/>
  <c r="F50" i="3"/>
  <c r="G50" i="3"/>
  <c r="F51" i="3"/>
  <c r="G51" i="3"/>
  <c r="F52" i="3"/>
  <c r="H52" i="3" s="1"/>
  <c r="I52" i="3" s="1"/>
  <c r="G52" i="3"/>
  <c r="F53" i="3"/>
  <c r="H53" i="3" s="1"/>
  <c r="I53" i="3" s="1"/>
  <c r="G53" i="3"/>
  <c r="F54" i="3"/>
  <c r="H54" i="3" s="1"/>
  <c r="I54" i="3" s="1"/>
  <c r="G54" i="3"/>
  <c r="F55" i="3"/>
  <c r="H55" i="3" s="1"/>
  <c r="I55" i="3" s="1"/>
  <c r="G55" i="3"/>
  <c r="F56" i="3"/>
  <c r="G56" i="3"/>
  <c r="F57" i="3"/>
  <c r="H57" i="3" s="1"/>
  <c r="I57" i="3" s="1"/>
  <c r="G57" i="3"/>
  <c r="F58" i="3"/>
  <c r="G58" i="3"/>
  <c r="F59" i="3"/>
  <c r="G59" i="3"/>
  <c r="F60" i="3"/>
  <c r="G60" i="3"/>
  <c r="H60" i="3" s="1"/>
  <c r="I60" i="3" s="1"/>
  <c r="F61" i="3"/>
  <c r="G61" i="3"/>
  <c r="H61" i="3" s="1"/>
  <c r="I61" i="3" s="1"/>
  <c r="F62" i="3"/>
  <c r="G62" i="3"/>
  <c r="F63" i="3"/>
  <c r="G63" i="3"/>
  <c r="F64" i="3"/>
  <c r="G64" i="3"/>
  <c r="H64" i="3" s="1"/>
  <c r="I64" i="3" s="1"/>
  <c r="F65" i="3"/>
  <c r="G65" i="3"/>
  <c r="F66" i="3"/>
  <c r="G66" i="3"/>
  <c r="F67" i="3"/>
  <c r="G67" i="3"/>
  <c r="H67" i="3" s="1"/>
  <c r="I67" i="3" s="1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H75" i="3" s="1"/>
  <c r="I75" i="3" s="1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H81" i="3" s="1"/>
  <c r="I81" i="3" s="1"/>
  <c r="F82" i="3"/>
  <c r="G82" i="3"/>
  <c r="F83" i="3"/>
  <c r="G83" i="3"/>
  <c r="F84" i="3"/>
  <c r="G84" i="3"/>
  <c r="F85" i="3"/>
  <c r="G85" i="3"/>
  <c r="H85" i="3"/>
  <c r="I85" i="3" s="1"/>
  <c r="F86" i="3"/>
  <c r="G86" i="3"/>
  <c r="H86" i="3"/>
  <c r="I86" i="3" s="1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8" i="3"/>
  <c r="H98" i="3" s="1"/>
  <c r="I98" i="3" s="1"/>
  <c r="Q98" i="3" s="1"/>
  <c r="G98" i="3"/>
  <c r="F99" i="3"/>
  <c r="G99" i="3"/>
  <c r="H99" i="3"/>
  <c r="I99" i="3" s="1"/>
  <c r="F100" i="3"/>
  <c r="G100" i="3"/>
  <c r="H100" i="3"/>
  <c r="I100" i="3"/>
  <c r="F101" i="3"/>
  <c r="G101" i="3"/>
  <c r="H101" i="3"/>
  <c r="I101" i="3" s="1"/>
  <c r="F102" i="3"/>
  <c r="G102" i="3"/>
  <c r="H102" i="3"/>
  <c r="I102" i="3"/>
  <c r="F103" i="3"/>
  <c r="G103" i="3"/>
  <c r="H103" i="3"/>
  <c r="I103" i="3" s="1"/>
  <c r="F104" i="3"/>
  <c r="H104" i="3" s="1"/>
  <c r="I104" i="3" s="1"/>
  <c r="G104" i="3"/>
  <c r="F105" i="3"/>
  <c r="G105" i="3"/>
  <c r="H105" i="3"/>
  <c r="I105" i="3" s="1"/>
  <c r="F106" i="3"/>
  <c r="H106" i="3" s="1"/>
  <c r="I106" i="3" s="1"/>
  <c r="G106" i="3"/>
  <c r="F107" i="3"/>
  <c r="G107" i="3"/>
  <c r="H107" i="3"/>
  <c r="I107" i="3" s="1"/>
  <c r="F108" i="3"/>
  <c r="H108" i="3" s="1"/>
  <c r="I108" i="3" s="1"/>
  <c r="G108" i="3"/>
  <c r="F109" i="3"/>
  <c r="G109" i="3"/>
  <c r="H109" i="3"/>
  <c r="I109" i="3" s="1"/>
  <c r="F110" i="3"/>
  <c r="H110" i="3" s="1"/>
  <c r="I110" i="3" s="1"/>
  <c r="G110" i="3"/>
  <c r="F111" i="3"/>
  <c r="G111" i="3"/>
  <c r="H111" i="3"/>
  <c r="I111" i="3" s="1"/>
  <c r="F112" i="3"/>
  <c r="H112" i="3" s="1"/>
  <c r="I112" i="3" s="1"/>
  <c r="G112" i="3"/>
  <c r="F113" i="3"/>
  <c r="G113" i="3"/>
  <c r="H113" i="3"/>
  <c r="I113" i="3" s="1"/>
  <c r="F114" i="3"/>
  <c r="H114" i="3" s="1"/>
  <c r="I114" i="3" s="1"/>
  <c r="G114" i="3"/>
  <c r="F115" i="3"/>
  <c r="G115" i="3"/>
  <c r="H115" i="3"/>
  <c r="I115" i="3" s="1"/>
  <c r="F116" i="3"/>
  <c r="H116" i="3" s="1"/>
  <c r="I116" i="3" s="1"/>
  <c r="G116" i="3"/>
  <c r="F117" i="3"/>
  <c r="G117" i="3"/>
  <c r="H117" i="3"/>
  <c r="I117" i="3" s="1"/>
  <c r="F118" i="3"/>
  <c r="H118" i="3" s="1"/>
  <c r="I118" i="3" s="1"/>
  <c r="G118" i="3"/>
  <c r="F119" i="3"/>
  <c r="G119" i="3"/>
  <c r="H119" i="3"/>
  <c r="I119" i="3" s="1"/>
  <c r="F120" i="3"/>
  <c r="H120" i="3" s="1"/>
  <c r="I120" i="3" s="1"/>
  <c r="G120" i="3"/>
  <c r="F121" i="3"/>
  <c r="G121" i="3"/>
  <c r="H121" i="3"/>
  <c r="I121" i="3" s="1"/>
  <c r="F122" i="3"/>
  <c r="H122" i="3" s="1"/>
  <c r="I122" i="3" s="1"/>
  <c r="G122" i="3"/>
  <c r="F123" i="3"/>
  <c r="G123" i="3"/>
  <c r="H123" i="3"/>
  <c r="I123" i="3" s="1"/>
  <c r="F124" i="3"/>
  <c r="H124" i="3" s="1"/>
  <c r="I124" i="3" s="1"/>
  <c r="G124" i="3"/>
  <c r="F125" i="3"/>
  <c r="G125" i="3"/>
  <c r="H125" i="3"/>
  <c r="I125" i="3" s="1"/>
  <c r="F126" i="3"/>
  <c r="H126" i="3" s="1"/>
  <c r="I126" i="3" s="1"/>
  <c r="G126" i="3"/>
  <c r="F127" i="3"/>
  <c r="G127" i="3"/>
  <c r="H127" i="3"/>
  <c r="I127" i="3" s="1"/>
  <c r="F128" i="3"/>
  <c r="H128" i="3" s="1"/>
  <c r="I128" i="3" s="1"/>
  <c r="G128" i="3"/>
  <c r="F129" i="3"/>
  <c r="G129" i="3"/>
  <c r="H129" i="3"/>
  <c r="I129" i="3" s="1"/>
  <c r="F130" i="3"/>
  <c r="H130" i="3" s="1"/>
  <c r="I130" i="3" s="1"/>
  <c r="G130" i="3"/>
  <c r="F131" i="3"/>
  <c r="G131" i="3"/>
  <c r="H131" i="3"/>
  <c r="I131" i="3" s="1"/>
  <c r="F132" i="3"/>
  <c r="H132" i="3" s="1"/>
  <c r="I132" i="3" s="1"/>
  <c r="G132" i="3"/>
  <c r="F133" i="3"/>
  <c r="G133" i="3"/>
  <c r="H133" i="3"/>
  <c r="I133" i="3" s="1"/>
  <c r="F134" i="3"/>
  <c r="H134" i="3" s="1"/>
  <c r="I134" i="3" s="1"/>
  <c r="G134" i="3"/>
  <c r="F135" i="3"/>
  <c r="G135" i="3"/>
  <c r="H135" i="3"/>
  <c r="I135" i="3" s="1"/>
  <c r="F136" i="3"/>
  <c r="H136" i="3" s="1"/>
  <c r="I136" i="3" s="1"/>
  <c r="G136" i="3"/>
  <c r="F137" i="3"/>
  <c r="G137" i="3"/>
  <c r="H137" i="3"/>
  <c r="I137" i="3" s="1"/>
  <c r="F138" i="3"/>
  <c r="H138" i="3" s="1"/>
  <c r="I138" i="3" s="1"/>
  <c r="G138" i="3"/>
  <c r="F139" i="3"/>
  <c r="G139" i="3"/>
  <c r="H139" i="3"/>
  <c r="I139" i="3" s="1"/>
  <c r="F140" i="3"/>
  <c r="H140" i="3" s="1"/>
  <c r="I140" i="3" s="1"/>
  <c r="G140" i="3"/>
  <c r="F141" i="3"/>
  <c r="G141" i="3"/>
  <c r="H141" i="3"/>
  <c r="I141" i="3" s="1"/>
  <c r="F142" i="3"/>
  <c r="H142" i="3" s="1"/>
  <c r="I142" i="3" s="1"/>
  <c r="G142" i="3"/>
  <c r="F143" i="3"/>
  <c r="G143" i="3"/>
  <c r="H143" i="3"/>
  <c r="I143" i="3" s="1"/>
  <c r="F144" i="3"/>
  <c r="H144" i="3" s="1"/>
  <c r="I144" i="3" s="1"/>
  <c r="G144" i="3"/>
  <c r="F145" i="3"/>
  <c r="G145" i="3"/>
  <c r="H145" i="3"/>
  <c r="I145" i="3" s="1"/>
  <c r="F146" i="3"/>
  <c r="H146" i="3" s="1"/>
  <c r="I146" i="3" s="1"/>
  <c r="G146" i="3"/>
  <c r="F147" i="3"/>
  <c r="G147" i="3"/>
  <c r="H147" i="3"/>
  <c r="I147" i="3" s="1"/>
  <c r="F148" i="3"/>
  <c r="H148" i="3" s="1"/>
  <c r="I148" i="3" s="1"/>
  <c r="G148" i="3"/>
  <c r="F149" i="3"/>
  <c r="G149" i="3"/>
  <c r="H149" i="3"/>
  <c r="I149" i="3" s="1"/>
  <c r="F150" i="3"/>
  <c r="H150" i="3" s="1"/>
  <c r="I150" i="3" s="1"/>
  <c r="G150" i="3"/>
  <c r="F151" i="3"/>
  <c r="G151" i="3"/>
  <c r="H151" i="3"/>
  <c r="I151" i="3" s="1"/>
  <c r="F152" i="3"/>
  <c r="H152" i="3" s="1"/>
  <c r="I152" i="3" s="1"/>
  <c r="G152" i="3"/>
  <c r="F153" i="3"/>
  <c r="G153" i="3"/>
  <c r="H153" i="3"/>
  <c r="I153" i="3" s="1"/>
  <c r="F154" i="3"/>
  <c r="H154" i="3" s="1"/>
  <c r="I154" i="3" s="1"/>
  <c r="G154" i="3"/>
  <c r="F155" i="3"/>
  <c r="G155" i="3"/>
  <c r="H155" i="3"/>
  <c r="I155" i="3" s="1"/>
  <c r="F156" i="3"/>
  <c r="H156" i="3" s="1"/>
  <c r="I156" i="3" s="1"/>
  <c r="G156" i="3"/>
  <c r="F157" i="3"/>
  <c r="G157" i="3"/>
  <c r="H157" i="3"/>
  <c r="I157" i="3" s="1"/>
  <c r="F158" i="3"/>
  <c r="H158" i="3" s="1"/>
  <c r="I158" i="3" s="1"/>
  <c r="G158" i="3"/>
  <c r="F159" i="3"/>
  <c r="G159" i="3"/>
  <c r="H159" i="3"/>
  <c r="I159" i="3" s="1"/>
  <c r="F160" i="3"/>
  <c r="H160" i="3" s="1"/>
  <c r="I160" i="3" s="1"/>
  <c r="G160" i="3"/>
  <c r="F161" i="3"/>
  <c r="G161" i="3"/>
  <c r="H161" i="3"/>
  <c r="I161" i="3" s="1"/>
  <c r="F162" i="3"/>
  <c r="H162" i="3" s="1"/>
  <c r="I162" i="3" s="1"/>
  <c r="G162" i="3"/>
  <c r="F163" i="3"/>
  <c r="G163" i="3"/>
  <c r="H163" i="3"/>
  <c r="I163" i="3" s="1"/>
  <c r="F164" i="3"/>
  <c r="H164" i="3" s="1"/>
  <c r="I164" i="3" s="1"/>
  <c r="G164" i="3"/>
  <c r="F165" i="3"/>
  <c r="G165" i="3"/>
  <c r="H165" i="3"/>
  <c r="I165" i="3" s="1"/>
  <c r="F166" i="3"/>
  <c r="H166" i="3" s="1"/>
  <c r="I166" i="3" s="1"/>
  <c r="G166" i="3"/>
  <c r="F167" i="3"/>
  <c r="G167" i="3"/>
  <c r="H167" i="3"/>
  <c r="I167" i="3" s="1"/>
  <c r="F168" i="3"/>
  <c r="H168" i="3" s="1"/>
  <c r="I168" i="3" s="1"/>
  <c r="G168" i="3"/>
  <c r="N3" i="3"/>
  <c r="M3" i="3"/>
  <c r="G3" i="3"/>
  <c r="F3" i="3"/>
  <c r="A1" i="2"/>
  <c r="A2" i="2"/>
  <c r="D7" i="2"/>
  <c r="G3" i="2"/>
  <c r="G4" i="2" s="1"/>
  <c r="G9" i="2"/>
  <c r="N11" i="2" s="1"/>
  <c r="J4" i="2"/>
  <c r="I4" i="2"/>
  <c r="G6" i="2"/>
  <c r="A3" i="2"/>
  <c r="A8" i="2"/>
  <c r="A9" i="2" s="1"/>
  <c r="A4" i="2"/>
  <c r="A5" i="2" s="1"/>
  <c r="O96" i="3" l="1"/>
  <c r="P96" i="3" s="1"/>
  <c r="H96" i="3"/>
  <c r="I96" i="3" s="1"/>
  <c r="H95" i="3"/>
  <c r="I95" i="3" s="1"/>
  <c r="O95" i="3"/>
  <c r="P95" i="3" s="1"/>
  <c r="O94" i="3"/>
  <c r="P94" i="3" s="1"/>
  <c r="H94" i="3"/>
  <c r="I94" i="3" s="1"/>
  <c r="O93" i="3"/>
  <c r="P93" i="3" s="1"/>
  <c r="H93" i="3"/>
  <c r="I93" i="3" s="1"/>
  <c r="O92" i="3"/>
  <c r="P92" i="3" s="1"/>
  <c r="H92" i="3"/>
  <c r="I92" i="3" s="1"/>
  <c r="H91" i="3"/>
  <c r="I91" i="3" s="1"/>
  <c r="Q91" i="3" s="1"/>
  <c r="O90" i="3"/>
  <c r="P90" i="3" s="1"/>
  <c r="H90" i="3"/>
  <c r="I90" i="3" s="1"/>
  <c r="O89" i="3"/>
  <c r="P89" i="3" s="1"/>
  <c r="H89" i="3"/>
  <c r="I89" i="3" s="1"/>
  <c r="H88" i="3"/>
  <c r="I88" i="3" s="1"/>
  <c r="O88" i="3"/>
  <c r="P88" i="3" s="1"/>
  <c r="O87" i="3"/>
  <c r="P87" i="3" s="1"/>
  <c r="H87" i="3"/>
  <c r="I87" i="3" s="1"/>
  <c r="O86" i="3"/>
  <c r="P86" i="3" s="1"/>
  <c r="Q86" i="3" s="1"/>
  <c r="Q85" i="3"/>
  <c r="O84" i="3"/>
  <c r="P84" i="3" s="1"/>
  <c r="H84" i="3"/>
  <c r="I84" i="3" s="1"/>
  <c r="O83" i="3"/>
  <c r="P83" i="3" s="1"/>
  <c r="H83" i="3"/>
  <c r="I83" i="3" s="1"/>
  <c r="O82" i="3"/>
  <c r="P82" i="3" s="1"/>
  <c r="H82" i="3"/>
  <c r="I82" i="3" s="1"/>
  <c r="O81" i="3"/>
  <c r="P81" i="3" s="1"/>
  <c r="Q81" i="3" s="1"/>
  <c r="O80" i="3"/>
  <c r="P80" i="3" s="1"/>
  <c r="H80" i="3"/>
  <c r="I80" i="3" s="1"/>
  <c r="H79" i="3"/>
  <c r="I79" i="3" s="1"/>
  <c r="O79" i="3"/>
  <c r="P79" i="3" s="1"/>
  <c r="G17" i="2"/>
  <c r="O78" i="3"/>
  <c r="P78" i="3" s="1"/>
  <c r="H78" i="3"/>
  <c r="I78" i="3" s="1"/>
  <c r="O77" i="3"/>
  <c r="P77" i="3" s="1"/>
  <c r="H77" i="3"/>
  <c r="I77" i="3" s="1"/>
  <c r="O76" i="3"/>
  <c r="P76" i="3" s="1"/>
  <c r="H76" i="3"/>
  <c r="I76" i="3" s="1"/>
  <c r="O75" i="3"/>
  <c r="P75" i="3" s="1"/>
  <c r="Q75" i="3" s="1"/>
  <c r="O74" i="3"/>
  <c r="P74" i="3" s="1"/>
  <c r="H74" i="3"/>
  <c r="I74" i="3" s="1"/>
  <c r="H73" i="3"/>
  <c r="I73" i="3" s="1"/>
  <c r="Q73" i="3"/>
  <c r="O72" i="3"/>
  <c r="P72" i="3" s="1"/>
  <c r="H72" i="3"/>
  <c r="I72" i="3" s="1"/>
  <c r="O71" i="3"/>
  <c r="P71" i="3" s="1"/>
  <c r="H71" i="3"/>
  <c r="I71" i="3" s="1"/>
  <c r="O70" i="3"/>
  <c r="P70" i="3" s="1"/>
  <c r="H70" i="3"/>
  <c r="I70" i="3" s="1"/>
  <c r="H69" i="3"/>
  <c r="I69" i="3" s="1"/>
  <c r="O69" i="3"/>
  <c r="P69" i="3" s="1"/>
  <c r="O68" i="3"/>
  <c r="P68" i="3" s="1"/>
  <c r="H68" i="3"/>
  <c r="I68" i="3" s="1"/>
  <c r="Q67" i="3"/>
  <c r="O66" i="3"/>
  <c r="P66" i="3" s="1"/>
  <c r="H66" i="3"/>
  <c r="I66" i="3" s="1"/>
  <c r="O65" i="3"/>
  <c r="P65" i="3" s="1"/>
  <c r="H65" i="3"/>
  <c r="I65" i="3" s="1"/>
  <c r="O64" i="3"/>
  <c r="P64" i="3" s="1"/>
  <c r="Q64" i="3" s="1"/>
  <c r="O63" i="3"/>
  <c r="P63" i="3" s="1"/>
  <c r="H63" i="3"/>
  <c r="I63" i="3" s="1"/>
  <c r="O62" i="3"/>
  <c r="P62" i="3" s="1"/>
  <c r="H62" i="3"/>
  <c r="I62" i="3" s="1"/>
  <c r="O61" i="3"/>
  <c r="P61" i="3" s="1"/>
  <c r="Q61" i="3" s="1"/>
  <c r="O60" i="3"/>
  <c r="P60" i="3" s="1"/>
  <c r="Q60" i="3" s="1"/>
  <c r="H59" i="3"/>
  <c r="I59" i="3" s="1"/>
  <c r="Q59" i="3" s="1"/>
  <c r="O58" i="3"/>
  <c r="P58" i="3" s="1"/>
  <c r="H58" i="3"/>
  <c r="I58" i="3" s="1"/>
  <c r="O57" i="3"/>
  <c r="P57" i="3" s="1"/>
  <c r="Q57" i="3" s="1"/>
  <c r="O56" i="3"/>
  <c r="P56" i="3" s="1"/>
  <c r="H56" i="3"/>
  <c r="I56" i="3" s="1"/>
  <c r="G7" i="2"/>
  <c r="G10" i="2"/>
  <c r="L11" i="2"/>
  <c r="N13" i="2" s="1"/>
  <c r="O55" i="3"/>
  <c r="P55" i="3" s="1"/>
  <c r="Q55" i="3" s="1"/>
  <c r="O54" i="3"/>
  <c r="P54" i="3" s="1"/>
  <c r="Q54" i="3" s="1"/>
  <c r="O53" i="3"/>
  <c r="P53" i="3" s="1"/>
  <c r="Q53" i="3" s="1"/>
  <c r="Q52" i="3"/>
  <c r="H51" i="3"/>
  <c r="I51" i="3" s="1"/>
  <c r="Q51" i="3" s="1"/>
  <c r="O50" i="3"/>
  <c r="P50" i="3" s="1"/>
  <c r="H50" i="3"/>
  <c r="I50" i="3" s="1"/>
  <c r="Q50" i="3" s="1"/>
  <c r="H49" i="3"/>
  <c r="I49" i="3" s="1"/>
  <c r="Q49" i="3" s="1"/>
  <c r="O48" i="3"/>
  <c r="P48" i="3" s="1"/>
  <c r="H48" i="3"/>
  <c r="I48" i="3" s="1"/>
  <c r="O44" i="3"/>
  <c r="P44" i="3" s="1"/>
  <c r="H44" i="3"/>
  <c r="I44" i="3" s="1"/>
  <c r="O45" i="3"/>
  <c r="P45" i="3" s="1"/>
  <c r="H47" i="3"/>
  <c r="I47" i="3" s="1"/>
  <c r="H45" i="3"/>
  <c r="I45" i="3" s="1"/>
  <c r="H46" i="3"/>
  <c r="I46" i="3" s="1"/>
  <c r="Q46" i="3" s="1"/>
  <c r="O47" i="3"/>
  <c r="P47" i="3" s="1"/>
  <c r="O43" i="3"/>
  <c r="P43" i="3" s="1"/>
  <c r="H43" i="3"/>
  <c r="I43" i="3" s="1"/>
  <c r="Q42" i="3"/>
  <c r="O42" i="3"/>
  <c r="P42" i="3" s="1"/>
  <c r="O41" i="3"/>
  <c r="P41" i="3" s="1"/>
  <c r="H41" i="3"/>
  <c r="I41" i="3" s="1"/>
  <c r="H40" i="3"/>
  <c r="I40" i="3" s="1"/>
  <c r="O40" i="3"/>
  <c r="P40" i="3" s="1"/>
  <c r="O39" i="3"/>
  <c r="P39" i="3" s="1"/>
  <c r="Q39" i="3" s="1"/>
  <c r="O38" i="3"/>
  <c r="P38" i="3" s="1"/>
  <c r="Q38" i="3" s="1"/>
  <c r="O37" i="3"/>
  <c r="P37" i="3" s="1"/>
  <c r="Q37" i="3"/>
  <c r="H36" i="3"/>
  <c r="I36" i="3" s="1"/>
  <c r="Q36" i="3" s="1"/>
  <c r="Q35" i="3"/>
  <c r="H34" i="3"/>
  <c r="I34" i="3" s="1"/>
  <c r="Q34" i="3" s="1"/>
  <c r="O33" i="3"/>
  <c r="P33" i="3" s="1"/>
  <c r="Q33" i="3" s="1"/>
  <c r="O32" i="3"/>
  <c r="P32" i="3" s="1"/>
  <c r="H32" i="3"/>
  <c r="I32" i="3" s="1"/>
  <c r="H31" i="3"/>
  <c r="I31" i="3" s="1"/>
  <c r="Q31" i="3" s="1"/>
  <c r="O30" i="3"/>
  <c r="P30" i="3" s="1"/>
  <c r="Q30" i="3" s="1"/>
  <c r="O29" i="3"/>
  <c r="P29" i="3" s="1"/>
  <c r="H29" i="3"/>
  <c r="I29" i="3" s="1"/>
  <c r="Q29" i="3" s="1"/>
  <c r="O28" i="3"/>
  <c r="P28" i="3" s="1"/>
  <c r="H28" i="3"/>
  <c r="I28" i="3" s="1"/>
  <c r="H27" i="3"/>
  <c r="I27" i="3" s="1"/>
  <c r="Q27" i="3" s="1"/>
  <c r="O26" i="3"/>
  <c r="P26" i="3" s="1"/>
  <c r="H26" i="3"/>
  <c r="I26" i="3" s="1"/>
  <c r="H25" i="3"/>
  <c r="I25" i="3" s="1"/>
  <c r="Q25" i="3" s="1"/>
  <c r="O24" i="3"/>
  <c r="P24" i="3" s="1"/>
  <c r="Q24" i="3" s="1"/>
  <c r="H23" i="3"/>
  <c r="I23" i="3" s="1"/>
  <c r="O23" i="3"/>
  <c r="P23" i="3" s="1"/>
  <c r="O22" i="3"/>
  <c r="P22" i="3" s="1"/>
  <c r="Q22" i="3" s="1"/>
  <c r="H21" i="3"/>
  <c r="I21" i="3" s="1"/>
  <c r="O21" i="3"/>
  <c r="P21" i="3" s="1"/>
  <c r="H20" i="3"/>
  <c r="I20" i="3" s="1"/>
  <c r="Q20" i="3" s="1"/>
  <c r="O19" i="3"/>
  <c r="P19" i="3" s="1"/>
  <c r="H19" i="3"/>
  <c r="I19" i="3" s="1"/>
  <c r="O18" i="3"/>
  <c r="P18" i="3" s="1"/>
  <c r="H17" i="3"/>
  <c r="I17" i="3" s="1"/>
  <c r="H16" i="3"/>
  <c r="I16" i="3" s="1"/>
  <c r="O16" i="3"/>
  <c r="P16" i="3" s="1"/>
  <c r="H15" i="3"/>
  <c r="I15" i="3" s="1"/>
  <c r="O14" i="3"/>
  <c r="P14" i="3" s="1"/>
  <c r="O13" i="3"/>
  <c r="P13" i="3" s="1"/>
  <c r="H12" i="3"/>
  <c r="I12" i="3" s="1"/>
  <c r="O12" i="3"/>
  <c r="P12" i="3" s="1"/>
  <c r="O11" i="3"/>
  <c r="P11" i="3" s="1"/>
  <c r="H11" i="3"/>
  <c r="I11" i="3" s="1"/>
  <c r="H10" i="3"/>
  <c r="I10" i="3" s="1"/>
  <c r="O10" i="3"/>
  <c r="P10" i="3" s="1"/>
  <c r="O9" i="3"/>
  <c r="P9" i="3" s="1"/>
  <c r="O8" i="3"/>
  <c r="P8" i="3" s="1"/>
  <c r="H7" i="3"/>
  <c r="I7" i="3" s="1"/>
  <c r="O6" i="3"/>
  <c r="P6" i="3" s="1"/>
  <c r="H6" i="3"/>
  <c r="I6" i="3" s="1"/>
  <c r="O5" i="3"/>
  <c r="P5" i="3" s="1"/>
  <c r="O4" i="3"/>
  <c r="P4" i="3" s="1"/>
  <c r="O158" i="3"/>
  <c r="P158" i="3" s="1"/>
  <c r="O150" i="3"/>
  <c r="P150" i="3" s="1"/>
  <c r="O142" i="3"/>
  <c r="P142" i="3" s="1"/>
  <c r="O166" i="3"/>
  <c r="P166" i="3" s="1"/>
  <c r="O160" i="3"/>
  <c r="P160" i="3" s="1"/>
  <c r="O152" i="3"/>
  <c r="P152" i="3" s="1"/>
  <c r="O144" i="3"/>
  <c r="P144" i="3" s="1"/>
  <c r="O164" i="3"/>
  <c r="P164" i="3" s="1"/>
  <c r="H3" i="3"/>
  <c r="O3" i="3"/>
  <c r="P3" i="3" s="1"/>
  <c r="Q96" i="3" l="1"/>
  <c r="Q95" i="3"/>
  <c r="Q94" i="3"/>
  <c r="Q93" i="3"/>
  <c r="Q92" i="3"/>
  <c r="Q90" i="3"/>
  <c r="Q89" i="3"/>
  <c r="Q88" i="3"/>
  <c r="Q87" i="3"/>
  <c r="Q84" i="3"/>
  <c r="Q83" i="3"/>
  <c r="Q82" i="3"/>
  <c r="Q80" i="3"/>
  <c r="Q79" i="3"/>
  <c r="Q78" i="3"/>
  <c r="Q77" i="3"/>
  <c r="Q76" i="3"/>
  <c r="Q74" i="3"/>
  <c r="Q72" i="3"/>
  <c r="Q71" i="3"/>
  <c r="Q70" i="3"/>
  <c r="Q69" i="3"/>
  <c r="Q68" i="3"/>
  <c r="Q66" i="3"/>
  <c r="Q65" i="3"/>
  <c r="Q63" i="3"/>
  <c r="Q62" i="3"/>
  <c r="Q58" i="3"/>
  <c r="Q56" i="3"/>
  <c r="L10" i="2"/>
  <c r="Q48" i="3"/>
  <c r="Q47" i="3"/>
  <c r="Q45" i="3"/>
  <c r="Q44" i="3"/>
  <c r="Q43" i="3"/>
  <c r="Q41" i="3"/>
  <c r="Q40" i="3"/>
  <c r="Q32" i="3"/>
  <c r="Q28" i="3"/>
  <c r="Q26" i="3"/>
  <c r="Q23" i="3"/>
  <c r="Q21" i="3"/>
  <c r="H19" i="2" l="1"/>
  <c r="P10" i="2"/>
  <c r="Q10" i="2" s="1"/>
  <c r="Q11" i="2" s="1"/>
  <c r="N8" i="2"/>
</calcChain>
</file>

<file path=xl/sharedStrings.xml><?xml version="1.0" encoding="utf-8"?>
<sst xmlns="http://schemas.openxmlformats.org/spreadsheetml/2006/main" count="58" uniqueCount="44">
  <si>
    <t>tan °</t>
  </si>
  <si>
    <t>arc tan</t>
  </si>
  <si>
    <t>g</t>
  </si>
  <si>
    <t>angle radian</t>
  </si>
  <si>
    <t>tan degrés</t>
  </si>
  <si>
    <t>h</t>
  </si>
  <si>
    <t>vitesse de vent katabatique m/s</t>
  </si>
  <si>
    <t>v= sqrt(2*h*g*sin(theta))</t>
  </si>
  <si>
    <t>longueur d'onde (estimation)</t>
  </si>
  <si>
    <t>kc +</t>
  </si>
  <si>
    <t>Δy</t>
  </si>
  <si>
    <t>Δx</t>
  </si>
  <si>
    <t>ratio</t>
  </si>
  <si>
    <t>slope (°) W</t>
  </si>
  <si>
    <t xml:space="preserve">slope (°) E </t>
  </si>
  <si>
    <t>x</t>
  </si>
  <si>
    <t>y</t>
  </si>
  <si>
    <t>Slope going East</t>
  </si>
  <si>
    <t>Slope going W</t>
  </si>
  <si>
    <t>Points at the top of BTD</t>
  </si>
  <si>
    <t>Ratio slope W/E</t>
  </si>
  <si>
    <t>Von Karman</t>
  </si>
  <si>
    <t xml:space="preserve">visocisté dynamique </t>
  </si>
  <si>
    <t>Sc Pluto</t>
  </si>
  <si>
    <t>kc+ pluto</t>
  </si>
  <si>
    <t>z</t>
  </si>
  <si>
    <t>lambda</t>
  </si>
  <si>
    <t>ux(z) kc+ pluto</t>
  </si>
  <si>
    <t>ux kc ref</t>
  </si>
  <si>
    <t>u* kc+ pluto</t>
  </si>
  <si>
    <t>u*kc+ ref</t>
  </si>
  <si>
    <t>sc mars</t>
  </si>
  <si>
    <t>u*mars</t>
  </si>
  <si>
    <t>u mars</t>
  </si>
  <si>
    <t>lambda mars</t>
  </si>
  <si>
    <t>kc+mars</t>
  </si>
  <si>
    <t>viscosité dynamique mars</t>
  </si>
  <si>
    <t>m/s (deposition CH4)</t>
  </si>
  <si>
    <t>temps de formation années terrestres</t>
  </si>
  <si>
    <t>temps de formation années Pluton</t>
  </si>
  <si>
    <t>sigmac+</t>
  </si>
  <si>
    <t>HAZELIGHT</t>
  </si>
  <si>
    <t>Median</t>
  </si>
  <si>
    <t>When it's red, profile is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</si>
</sst>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/>
      <top/>
      <bottom/>
      <diagonal/>
    </border>
  </borders>
  <cellStyleXfs count="9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0" borderId="0" applyNumberFormat="0" applyFill="0" applyBorder="0" applyAlignment="0" applyProtection="0"/>
    <xf numFmtId="0" fontId="5" fillId="4" borderId="0"/>
    <xf numFmtId="0" fontId="5" fillId="4" borderId="3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7" fillId="7" borderId="0" applyNumberFormat="0" applyBorder="0" applyAlignment="0" applyProtection="0"/>
  </cellStyleXfs>
  <cellXfs count="17">
    <xf numFmtId="0" fontId="0" fillId="0" borderId="0" xfId="0"/>
    <xf numFmtId="0" fontId="2" fillId="2" borderId="1" xfId="1"/>
    <xf numFmtId="0" fontId="5" fillId="4" borderId="3" xfId="5"/>
    <xf numFmtId="0" fontId="4" fillId="2" borderId="1" xfId="3" applyFill="1" applyBorder="1"/>
    <xf numFmtId="0" fontId="4" fillId="0" borderId="0" xfId="3"/>
    <xf numFmtId="0" fontId="4" fillId="4" borderId="3" xfId="3" applyFill="1" applyBorder="1"/>
    <xf numFmtId="0" fontId="2" fillId="2" borderId="0" xfId="1" applyBorder="1"/>
    <xf numFmtId="0" fontId="1" fillId="0" borderId="0" xfId="3" applyFont="1"/>
    <xf numFmtId="0" fontId="6" fillId="0" borderId="0" xfId="3" applyFont="1"/>
    <xf numFmtId="0" fontId="1" fillId="5" borderId="0" xfId="6"/>
    <xf numFmtId="0" fontId="1" fillId="6" borderId="0" xfId="7"/>
    <xf numFmtId="0" fontId="7" fillId="7" borderId="0" xfId="8"/>
    <xf numFmtId="11" fontId="0" fillId="0" borderId="0" xfId="0" applyNumberFormat="1"/>
    <xf numFmtId="0" fontId="4" fillId="0" borderId="0" xfId="0" applyFont="1"/>
    <xf numFmtId="0" fontId="3" fillId="3" borderId="2" xfId="2" applyAlignment="1">
      <alignment horizontal="center"/>
    </xf>
    <xf numFmtId="0" fontId="3" fillId="3" borderId="4" xfId="2" applyBorder="1" applyAlignment="1">
      <alignment horizontal="center"/>
    </xf>
    <xf numFmtId="0" fontId="3" fillId="3" borderId="0" xfId="2" applyBorder="1" applyAlignment="1">
      <alignment horizontal="center"/>
    </xf>
  </cellXfs>
  <cellStyles count="9">
    <cellStyle name="60% - Accent2" xfId="6" builtinId="36"/>
    <cellStyle name="60% - Accent4" xfId="7" builtinId="44"/>
    <cellStyle name="Bad" xfId="8" builtinId="27"/>
    <cellStyle name="Check Cell" xfId="2" builtinId="23"/>
    <cellStyle name="Normal" xfId="0" builtinId="0"/>
    <cellStyle name="Output" xfId="1" builtinId="21"/>
    <cellStyle name="Style 1" xfId="4" xr:uid="{9F114539-8B4C-4E98-A1D1-F9E3D69A692F}"/>
    <cellStyle name="Style 2" xfId="5" xr:uid="{9B229E70-BC31-4193-B728-821676D05D27}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B5D9-DEE3-4E77-AA93-8DC3CD0DA831}">
  <dimension ref="A1:R19"/>
  <sheetViews>
    <sheetView topLeftCell="B1" workbookViewId="0">
      <selection activeCell="N10" sqref="N10"/>
    </sheetView>
  </sheetViews>
  <sheetFormatPr defaultColWidth="11.5546875" defaultRowHeight="14.4" x14ac:dyDescent="0.3"/>
  <cols>
    <col min="8" max="8" width="12" bestFit="1" customWidth="1"/>
    <col min="16" max="16" width="12" bestFit="1" customWidth="1"/>
  </cols>
  <sheetData>
    <row r="1" spans="1:18" x14ac:dyDescent="0.3">
      <c r="A1">
        <f>(3977-1171)/(77586-11471)</f>
        <v>4.2441200937759965E-2</v>
      </c>
      <c r="B1" t="s">
        <v>0</v>
      </c>
    </row>
    <row r="2" spans="1:18" x14ac:dyDescent="0.3">
      <c r="A2">
        <f>ATAN(A1)</f>
        <v>4.2415745959924527E-2</v>
      </c>
      <c r="B2" t="s">
        <v>1</v>
      </c>
      <c r="G2" t="s">
        <v>7</v>
      </c>
    </row>
    <row r="3" spans="1:18" x14ac:dyDescent="0.3">
      <c r="A3">
        <f>RADIANS(0.042)</f>
        <v>7.3303828583761842E-4</v>
      </c>
      <c r="G3">
        <f>(3531-1311)/(52163-4949)</f>
        <v>4.7019951709238783E-2</v>
      </c>
      <c r="H3" t="s">
        <v>4</v>
      </c>
    </row>
    <row r="4" spans="1:18" x14ac:dyDescent="0.3">
      <c r="A4">
        <f>(4019-1901)/(43117-8044)</f>
        <v>6.0388332905653923E-2</v>
      </c>
      <c r="B4" t="s">
        <v>0</v>
      </c>
      <c r="G4">
        <f>ATAN(RADIANS(G3))</f>
        <v>8.2065278722628563E-4</v>
      </c>
      <c r="H4" t="s">
        <v>3</v>
      </c>
      <c r="I4">
        <f>SIN(90)</f>
        <v>0.89399666360055785</v>
      </c>
      <c r="J4">
        <f>SIN(RADIANS(90))</f>
        <v>1</v>
      </c>
    </row>
    <row r="5" spans="1:18" x14ac:dyDescent="0.3">
      <c r="A5">
        <f>ATAN(A4)</f>
        <v>6.031508604069135E-2</v>
      </c>
      <c r="B5" t="s">
        <v>1</v>
      </c>
      <c r="G5">
        <v>0.62</v>
      </c>
      <c r="H5" t="s">
        <v>2</v>
      </c>
      <c r="K5">
        <f>9.6*10^(-3)</f>
        <v>9.5999999999999992E-3</v>
      </c>
      <c r="L5" t="s">
        <v>40</v>
      </c>
    </row>
    <row r="6" spans="1:18" x14ac:dyDescent="0.3">
      <c r="G6">
        <f>(3531-1311)</f>
        <v>2220</v>
      </c>
      <c r="H6" t="s">
        <v>5</v>
      </c>
    </row>
    <row r="7" spans="1:18" x14ac:dyDescent="0.3">
      <c r="D7">
        <f>52163-4949</f>
        <v>47214</v>
      </c>
      <c r="G7">
        <f>SQRT(2*G5*G6*SIN((G4)))</f>
        <v>1.5030278570619571</v>
      </c>
      <c r="H7" t="s">
        <v>6</v>
      </c>
    </row>
    <row r="8" spans="1:18" x14ac:dyDescent="0.3">
      <c r="A8">
        <f>(3343-1171)/(47695-0)</f>
        <v>4.5539364713282314E-2</v>
      </c>
      <c r="B8" t="s">
        <v>0</v>
      </c>
      <c r="G8">
        <v>0.41</v>
      </c>
      <c r="H8" t="s">
        <v>21</v>
      </c>
      <c r="N8" s="9">
        <f>N10/L10*100</f>
        <v>7.2069867310502165</v>
      </c>
      <c r="O8" s="9" t="s">
        <v>12</v>
      </c>
    </row>
    <row r="9" spans="1:18" x14ac:dyDescent="0.3">
      <c r="A9">
        <f>ATAN(A8)</f>
        <v>4.5507923469376599E-2</v>
      </c>
      <c r="B9" t="s">
        <v>1</v>
      </c>
      <c r="G9" s="10">
        <f>6.7*10^(-3)</f>
        <v>6.7000000000000002E-3</v>
      </c>
      <c r="H9" s="10" t="s">
        <v>9</v>
      </c>
    </row>
    <row r="10" spans="1:18" x14ac:dyDescent="0.3">
      <c r="G10">
        <f>(2*PI()/G9)*0.037/0.15</f>
        <v>231.32125011506935</v>
      </c>
      <c r="H10" t="s">
        <v>8</v>
      </c>
      <c r="L10" s="9">
        <f>(2*PI()/E16)*(1/G8)*(E12/G12)*LN((18*PI()/E16)*G11/G12)</f>
        <v>0.17088476681575157</v>
      </c>
      <c r="M10" s="9" t="s">
        <v>27</v>
      </c>
      <c r="N10" s="9">
        <f>(2*PI()*E12/E16)*(1/G12)</f>
        <v>1.2315642469797319E-2</v>
      </c>
      <c r="O10" s="9" t="s">
        <v>29</v>
      </c>
      <c r="P10">
        <f>(1/K5)*(1/H18)*(E12/N10)</f>
        <v>114184055232901.11</v>
      </c>
      <c r="Q10" s="12">
        <f>(P10/(3600*24*365))</f>
        <v>3620752.6392979803</v>
      </c>
      <c r="R10" t="s">
        <v>38</v>
      </c>
    </row>
    <row r="11" spans="1:18" x14ac:dyDescent="0.3">
      <c r="G11">
        <v>100</v>
      </c>
      <c r="H11" t="s">
        <v>25</v>
      </c>
      <c r="L11" s="10">
        <f>(2*PI()/G9)*(1/G8)*(E12/G12)*LN((18*PI()/G9)*G11/G12)</f>
        <v>0.36211796995129369</v>
      </c>
      <c r="M11" s="10" t="s">
        <v>28</v>
      </c>
      <c r="N11" s="10">
        <f>(2*PI()*E12/G9)*(1/G12)</f>
        <v>2.3444721295446214E-2</v>
      </c>
      <c r="O11" s="10" t="s">
        <v>30</v>
      </c>
      <c r="Q11">
        <f>Q10/248</f>
        <v>14599.809029427341</v>
      </c>
      <c r="R11" t="s">
        <v>39</v>
      </c>
    </row>
    <row r="12" spans="1:18" x14ac:dyDescent="0.3">
      <c r="E12">
        <v>3.7499999999999999E-2</v>
      </c>
      <c r="F12" t="s">
        <v>22</v>
      </c>
      <c r="G12">
        <v>1500</v>
      </c>
      <c r="H12" t="s">
        <v>26</v>
      </c>
    </row>
    <row r="13" spans="1:18" x14ac:dyDescent="0.3">
      <c r="G13" s="11">
        <v>7</v>
      </c>
      <c r="H13" s="11" t="s">
        <v>34</v>
      </c>
      <c r="N13" s="10">
        <f>N11/L11*100</f>
        <v>6.4743324664610329</v>
      </c>
      <c r="O13" s="10" t="s">
        <v>12</v>
      </c>
    </row>
    <row r="14" spans="1:18" x14ac:dyDescent="0.3">
      <c r="J14">
        <f>0.041/(0.055)</f>
        <v>0.74545454545454548</v>
      </c>
    </row>
    <row r="15" spans="1:18" x14ac:dyDescent="0.3">
      <c r="E15">
        <v>0.04</v>
      </c>
      <c r="F15" t="s">
        <v>23</v>
      </c>
      <c r="L15" s="11">
        <f>(2*PI()/E19)*(1/G8)*(G17/G13)*LN((18*PI()/E19)*G11/G13)</f>
        <v>8.0458490554384099</v>
      </c>
      <c r="M15" s="11" t="s">
        <v>33</v>
      </c>
    </row>
    <row r="16" spans="1:18" x14ac:dyDescent="0.3">
      <c r="E16" s="9">
        <f>G9/(E15^(1/5))</f>
        <v>1.2754481389396386E-2</v>
      </c>
      <c r="F16" s="9" t="s">
        <v>24</v>
      </c>
      <c r="L16" s="11">
        <f>(2*PI()*G17/E19)*(1/G13)</f>
        <v>0.26462919313677197</v>
      </c>
      <c r="M16" s="11" t="s">
        <v>32</v>
      </c>
    </row>
    <row r="17" spans="5:14" x14ac:dyDescent="0.3">
      <c r="E17" s="11">
        <f>737*10^(-6)</f>
        <v>7.3699999999999992E-4</v>
      </c>
      <c r="F17" s="11">
        <f xml:space="preserve"> 1100*10^(-6)</f>
        <v>1.0999999999999998E-3</v>
      </c>
      <c r="G17" s="11">
        <f>(E17+F17)/2</f>
        <v>9.1849999999999983E-4</v>
      </c>
      <c r="H17" t="s">
        <v>36</v>
      </c>
      <c r="M17" s="11">
        <f>L16/L15*100</f>
        <v>3.289015134554405</v>
      </c>
      <c r="N17" s="11" t="s">
        <v>12</v>
      </c>
    </row>
    <row r="18" spans="5:14" x14ac:dyDescent="0.3">
      <c r="E18" s="11">
        <v>46</v>
      </c>
      <c r="F18" s="11" t="s">
        <v>31</v>
      </c>
      <c r="H18">
        <f>(10/3600)*10^(-9)</f>
        <v>2.7777777777777781E-12</v>
      </c>
      <c r="I18" t="s">
        <v>37</v>
      </c>
    </row>
    <row r="19" spans="5:14" x14ac:dyDescent="0.3">
      <c r="E19" s="11">
        <f>G9/(E18^(1/5))</f>
        <v>3.115467580577761E-3</v>
      </c>
      <c r="F19" s="11" t="s">
        <v>35</v>
      </c>
      <c r="H19">
        <f>(1/H18)*(E12/N10)</f>
        <v>1096166930235.8506</v>
      </c>
      <c r="M19">
        <f>1/247.7</f>
        <v>4.0371417036737991E-3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E008-7612-44E1-9654-E0E97FA5447B}">
  <dimension ref="A1:S168"/>
  <sheetViews>
    <sheetView tabSelected="1" topLeftCell="E1" zoomScale="59" zoomScaleNormal="40" workbookViewId="0">
      <selection activeCell="S7" sqref="S7"/>
    </sheetView>
  </sheetViews>
  <sheetFormatPr defaultColWidth="11.5546875" defaultRowHeight="14.4" x14ac:dyDescent="0.3"/>
  <cols>
    <col min="10" max="10" width="12.21875" customWidth="1"/>
    <col min="17" max="17" width="18.21875" customWidth="1"/>
    <col min="18" max="18" width="14.6640625" customWidth="1"/>
  </cols>
  <sheetData>
    <row r="1" spans="1:19" ht="15.6" thickTop="1" thickBot="1" x14ac:dyDescent="0.35">
      <c r="A1" s="14" t="s">
        <v>19</v>
      </c>
      <c r="B1" s="14"/>
      <c r="D1" s="16" t="s">
        <v>18</v>
      </c>
      <c r="E1" s="16"/>
      <c r="F1" s="16"/>
      <c r="G1" s="16"/>
      <c r="H1" s="16"/>
      <c r="I1" s="16"/>
      <c r="K1" s="15" t="s">
        <v>17</v>
      </c>
      <c r="L1" s="16"/>
      <c r="M1" s="16"/>
      <c r="N1" s="16"/>
      <c r="O1" s="16"/>
      <c r="P1" s="16"/>
    </row>
    <row r="2" spans="1:19" ht="15" thickTop="1" x14ac:dyDescent="0.3">
      <c r="A2" s="1" t="s">
        <v>16</v>
      </c>
      <c r="B2" s="1" t="s">
        <v>15</v>
      </c>
      <c r="D2" s="1" t="s">
        <v>16</v>
      </c>
      <c r="E2" s="1" t="s">
        <v>15</v>
      </c>
      <c r="F2" s="1" t="s">
        <v>10</v>
      </c>
      <c r="G2" s="1" t="s">
        <v>11</v>
      </c>
      <c r="H2" s="1" t="s">
        <v>12</v>
      </c>
      <c r="I2" s="2" t="s">
        <v>13</v>
      </c>
      <c r="K2" s="1" t="s">
        <v>16</v>
      </c>
      <c r="L2" s="1" t="s">
        <v>15</v>
      </c>
      <c r="M2" s="1" t="s">
        <v>10</v>
      </c>
      <c r="N2" s="1" t="s">
        <v>11</v>
      </c>
      <c r="O2" s="1" t="s">
        <v>12</v>
      </c>
      <c r="P2" s="2" t="s">
        <v>14</v>
      </c>
      <c r="Q2" s="6" t="s">
        <v>20</v>
      </c>
    </row>
    <row r="3" spans="1:19" x14ac:dyDescent="0.3">
      <c r="A3" s="3">
        <v>3539</v>
      </c>
      <c r="B3" s="3">
        <v>36614</v>
      </c>
      <c r="C3" s="4"/>
      <c r="D3" s="3">
        <v>2051</v>
      </c>
      <c r="E3" s="3">
        <v>30816</v>
      </c>
      <c r="F3" s="3">
        <f>(A3-D3)</f>
        <v>1488</v>
      </c>
      <c r="G3" s="3">
        <f>B3-E3</f>
        <v>5798</v>
      </c>
      <c r="H3" s="3">
        <f>F3/G3</f>
        <v>0.2566402207657813</v>
      </c>
      <c r="I3" s="5">
        <f>DEGREES(ATAN(H3))</f>
        <v>14.393757063138327</v>
      </c>
      <c r="J3" s="4"/>
      <c r="K3" s="3">
        <v>2914</v>
      </c>
      <c r="L3" s="3">
        <v>38139</v>
      </c>
      <c r="M3" s="3">
        <f>A3-K3</f>
        <v>625</v>
      </c>
      <c r="N3" s="3">
        <f>L3-B3</f>
        <v>1525</v>
      </c>
      <c r="O3" s="3">
        <f>M3/N3</f>
        <v>0.4098360655737705</v>
      </c>
      <c r="P3" s="5">
        <f>DEGREES(ATAN(O3))</f>
        <v>22.285587646832763</v>
      </c>
      <c r="Q3" s="4">
        <f>I3/P3</f>
        <v>0.64587738457881649</v>
      </c>
    </row>
    <row r="4" spans="1:19" x14ac:dyDescent="0.3">
      <c r="A4" s="1">
        <v>3179</v>
      </c>
      <c r="B4" s="1">
        <v>41801</v>
      </c>
      <c r="D4" s="1">
        <v>2901</v>
      </c>
      <c r="E4" s="1">
        <v>39055</v>
      </c>
      <c r="F4" s="1">
        <f t="shared" ref="F4:F67" si="0">(A4-D4)</f>
        <v>278</v>
      </c>
      <c r="G4" s="1">
        <f t="shared" ref="G4:G67" si="1">B4-E4</f>
        <v>2746</v>
      </c>
      <c r="H4" s="1">
        <f t="shared" ref="H4:H67" si="2">F4/G4</f>
        <v>0.101238164603059</v>
      </c>
      <c r="I4" s="2">
        <f t="shared" ref="I4:I67" si="3">DEGREES(ATAN(H4))</f>
        <v>5.7808237066758492</v>
      </c>
      <c r="K4" s="1">
        <v>2847</v>
      </c>
      <c r="L4" s="1">
        <v>44547</v>
      </c>
      <c r="M4" s="1">
        <f t="shared" ref="M4:M67" si="4">A4-K4</f>
        <v>332</v>
      </c>
      <c r="N4" s="1">
        <f t="shared" ref="N4:N67" si="5">L4-B4</f>
        <v>2746</v>
      </c>
      <c r="O4" s="1">
        <f t="shared" ref="O4:O67" si="6">M4/N4</f>
        <v>0.12090313182811362</v>
      </c>
      <c r="P4" s="2">
        <f t="shared" ref="P4:P67" si="7">DEGREES(ATAN(O4))</f>
        <v>6.8937790323566963</v>
      </c>
      <c r="Q4">
        <f t="shared" ref="Q4:Q67" si="8">I4/P4</f>
        <v>0.83855657101031655</v>
      </c>
      <c r="R4">
        <f>MEDIAN(Q3:Q96)</f>
        <v>0.61583316007069333</v>
      </c>
      <c r="S4" t="s">
        <v>42</v>
      </c>
    </row>
    <row r="5" spans="1:19" x14ac:dyDescent="0.3">
      <c r="A5" s="1">
        <v>3367</v>
      </c>
      <c r="B5" s="1">
        <v>46988</v>
      </c>
      <c r="D5" s="1">
        <v>2871</v>
      </c>
      <c r="E5" s="1">
        <v>44852</v>
      </c>
      <c r="F5" s="1">
        <f t="shared" si="0"/>
        <v>496</v>
      </c>
      <c r="G5" s="1">
        <f t="shared" si="1"/>
        <v>2136</v>
      </c>
      <c r="H5" s="1">
        <f t="shared" si="2"/>
        <v>0.23220973782771537</v>
      </c>
      <c r="I5" s="2">
        <f t="shared" si="3"/>
        <v>13.072953876700771</v>
      </c>
      <c r="K5" s="1">
        <v>3046</v>
      </c>
      <c r="L5" s="1">
        <v>47293</v>
      </c>
      <c r="M5" s="1">
        <f t="shared" si="4"/>
        <v>321</v>
      </c>
      <c r="N5" s="1">
        <f t="shared" si="5"/>
        <v>305</v>
      </c>
      <c r="O5" s="1">
        <f t="shared" si="6"/>
        <v>1.0524590163934426</v>
      </c>
      <c r="P5" s="2">
        <f t="shared" si="7"/>
        <v>46.464110106167645</v>
      </c>
      <c r="Q5">
        <f t="shared" si="8"/>
        <v>0.28135595079363129</v>
      </c>
    </row>
    <row r="6" spans="1:19" x14ac:dyDescent="0.3">
      <c r="A6" s="1">
        <v>3160</v>
      </c>
      <c r="B6" s="1">
        <v>51259</v>
      </c>
      <c r="D6" s="1">
        <v>3030</v>
      </c>
      <c r="E6" s="1">
        <v>48818</v>
      </c>
      <c r="F6" s="1">
        <f t="shared" si="0"/>
        <v>130</v>
      </c>
      <c r="G6" s="1">
        <f t="shared" si="1"/>
        <v>2441</v>
      </c>
      <c r="H6" s="1">
        <f t="shared" si="2"/>
        <v>5.3256861941827119E-2</v>
      </c>
      <c r="I6" s="2">
        <f t="shared" si="3"/>
        <v>3.0485134365951549</v>
      </c>
      <c r="K6" s="1">
        <v>2606</v>
      </c>
      <c r="L6" s="1">
        <v>53700</v>
      </c>
      <c r="M6" s="1">
        <f t="shared" si="4"/>
        <v>554</v>
      </c>
      <c r="N6" s="1">
        <f t="shared" si="5"/>
        <v>2441</v>
      </c>
      <c r="O6" s="1">
        <f t="shared" si="6"/>
        <v>0.22695616550594019</v>
      </c>
      <c r="P6" s="2">
        <f t="shared" si="7"/>
        <v>12.787018080049824</v>
      </c>
      <c r="Q6">
        <f t="shared" si="8"/>
        <v>0.23840690749874005</v>
      </c>
    </row>
    <row r="7" spans="1:19" x14ac:dyDescent="0.3">
      <c r="A7" s="1">
        <v>3439</v>
      </c>
      <c r="B7" s="1">
        <v>59912</v>
      </c>
      <c r="D7" s="1">
        <v>2496</v>
      </c>
      <c r="E7" s="1">
        <v>54921</v>
      </c>
      <c r="F7" s="1">
        <f t="shared" si="0"/>
        <v>943</v>
      </c>
      <c r="G7" s="1">
        <f t="shared" si="1"/>
        <v>4991</v>
      </c>
      <c r="H7" s="1">
        <f t="shared" si="2"/>
        <v>0.1889400921658986</v>
      </c>
      <c r="I7" s="2">
        <f t="shared" si="3"/>
        <v>10.699343374304165</v>
      </c>
      <c r="K7" s="1">
        <v>3168</v>
      </c>
      <c r="L7" s="1">
        <v>63159</v>
      </c>
      <c r="M7" s="1">
        <f t="shared" si="4"/>
        <v>271</v>
      </c>
      <c r="N7" s="1">
        <f t="shared" si="5"/>
        <v>3247</v>
      </c>
      <c r="O7" s="1">
        <f t="shared" si="6"/>
        <v>8.3461656914074533E-2</v>
      </c>
      <c r="P7" s="2">
        <f t="shared" si="7"/>
        <v>4.7709433065287667</v>
      </c>
      <c r="Q7">
        <f t="shared" si="8"/>
        <v>2.2426054318572004</v>
      </c>
      <c r="S7" t="s">
        <v>43</v>
      </c>
    </row>
    <row r="8" spans="1:19" x14ac:dyDescent="0.3">
      <c r="A8" s="1">
        <v>3640</v>
      </c>
      <c r="B8" s="1">
        <v>69566</v>
      </c>
      <c r="D8" s="1">
        <v>3052</v>
      </c>
      <c r="E8" s="1">
        <v>64074</v>
      </c>
      <c r="F8" s="1">
        <f t="shared" si="0"/>
        <v>588</v>
      </c>
      <c r="G8" s="1">
        <f t="shared" si="1"/>
        <v>5492</v>
      </c>
      <c r="H8" s="1">
        <f t="shared" si="2"/>
        <v>0.10706482155863073</v>
      </c>
      <c r="I8" s="2">
        <f t="shared" si="3"/>
        <v>6.1110831641200933</v>
      </c>
      <c r="K8" s="1">
        <v>2777</v>
      </c>
      <c r="L8" s="1">
        <v>73838</v>
      </c>
      <c r="M8" s="1">
        <f t="shared" si="4"/>
        <v>863</v>
      </c>
      <c r="N8" s="1">
        <f t="shared" si="5"/>
        <v>4272</v>
      </c>
      <c r="O8" s="1">
        <f t="shared" si="6"/>
        <v>0.20201310861423222</v>
      </c>
      <c r="P8" s="2">
        <f t="shared" si="7"/>
        <v>11.420795788801259</v>
      </c>
      <c r="Q8">
        <f t="shared" si="8"/>
        <v>0.53508383103324186</v>
      </c>
    </row>
    <row r="9" spans="1:19" x14ac:dyDescent="0.3">
      <c r="A9" s="1">
        <v>3641</v>
      </c>
      <c r="B9" s="1">
        <v>78720</v>
      </c>
      <c r="D9" s="1">
        <v>2777</v>
      </c>
      <c r="E9" s="1">
        <v>73838</v>
      </c>
      <c r="F9" s="1">
        <f t="shared" si="0"/>
        <v>864</v>
      </c>
      <c r="G9" s="1">
        <f t="shared" si="1"/>
        <v>4882</v>
      </c>
      <c r="H9" s="1">
        <f t="shared" si="2"/>
        <v>0.17697664891437936</v>
      </c>
      <c r="I9" s="2">
        <f t="shared" si="3"/>
        <v>10.036096812942958</v>
      </c>
      <c r="K9" s="1">
        <v>3039</v>
      </c>
      <c r="L9" s="1">
        <v>82381</v>
      </c>
      <c r="M9" s="1">
        <f t="shared" si="4"/>
        <v>602</v>
      </c>
      <c r="N9" s="1">
        <f t="shared" si="5"/>
        <v>3661</v>
      </c>
      <c r="O9" s="1">
        <f t="shared" si="6"/>
        <v>0.16443594646271512</v>
      </c>
      <c r="P9" s="2">
        <f t="shared" si="7"/>
        <v>9.337920897121732</v>
      </c>
      <c r="Q9">
        <f t="shared" si="8"/>
        <v>1.0747678121835909</v>
      </c>
    </row>
    <row r="10" spans="1:19" x14ac:dyDescent="0.3">
      <c r="A10" s="1">
        <v>3538</v>
      </c>
      <c r="B10" s="1">
        <v>85738</v>
      </c>
      <c r="D10" s="1">
        <v>3039</v>
      </c>
      <c r="E10" s="1">
        <v>82381</v>
      </c>
      <c r="F10" s="1">
        <f t="shared" si="0"/>
        <v>499</v>
      </c>
      <c r="G10" s="1">
        <f t="shared" si="1"/>
        <v>3357</v>
      </c>
      <c r="H10" s="1">
        <f t="shared" si="2"/>
        <v>0.14864462317545427</v>
      </c>
      <c r="I10" s="2">
        <f t="shared" si="3"/>
        <v>8.4548020206200807</v>
      </c>
      <c r="K10" s="1">
        <v>3199</v>
      </c>
      <c r="L10" s="1">
        <v>87989</v>
      </c>
      <c r="M10" s="1">
        <f t="shared" si="4"/>
        <v>339</v>
      </c>
      <c r="N10" s="1">
        <f t="shared" si="5"/>
        <v>2251</v>
      </c>
      <c r="O10" s="1">
        <f t="shared" si="6"/>
        <v>0.15059973345179919</v>
      </c>
      <c r="P10" s="2">
        <f t="shared" si="7"/>
        <v>8.5643687089659633</v>
      </c>
      <c r="Q10">
        <f t="shared" si="8"/>
        <v>0.98720668246905596</v>
      </c>
    </row>
    <row r="11" spans="1:19" x14ac:dyDescent="0.3">
      <c r="A11" s="1">
        <v>2676</v>
      </c>
      <c r="B11" s="1">
        <v>26240</v>
      </c>
      <c r="D11" s="1">
        <v>1886</v>
      </c>
      <c r="E11" s="1">
        <v>10679</v>
      </c>
      <c r="F11" s="1">
        <f t="shared" si="0"/>
        <v>790</v>
      </c>
      <c r="G11" s="1">
        <f t="shared" si="1"/>
        <v>15561</v>
      </c>
      <c r="H11" s="1">
        <f t="shared" si="2"/>
        <v>5.0767945504787609E-2</v>
      </c>
      <c r="I11" s="2">
        <f t="shared" si="3"/>
        <v>2.906293847070482</v>
      </c>
      <c r="K11" s="1">
        <v>1949</v>
      </c>
      <c r="L11" s="1">
        <v>30206</v>
      </c>
      <c r="M11" s="1">
        <f t="shared" si="4"/>
        <v>727</v>
      </c>
      <c r="N11" s="1">
        <f t="shared" si="5"/>
        <v>3966</v>
      </c>
      <c r="O11" s="1">
        <f t="shared" si="6"/>
        <v>0.18330811901159857</v>
      </c>
      <c r="P11" s="2">
        <f t="shared" si="7"/>
        <v>10.387460113119158</v>
      </c>
      <c r="Q11">
        <f t="shared" si="8"/>
        <v>0.27978868899817871</v>
      </c>
    </row>
    <row r="12" spans="1:19" x14ac:dyDescent="0.3">
      <c r="A12" s="3">
        <v>2227</v>
      </c>
      <c r="B12" s="3">
        <v>5616</v>
      </c>
      <c r="C12" s="4"/>
      <c r="D12" s="3">
        <v>1067</v>
      </c>
      <c r="E12" s="3">
        <v>0</v>
      </c>
      <c r="F12" s="3">
        <f t="shared" si="0"/>
        <v>1160</v>
      </c>
      <c r="G12" s="3">
        <f t="shared" si="1"/>
        <v>5616</v>
      </c>
      <c r="H12" s="3">
        <f t="shared" si="2"/>
        <v>0.20655270655270655</v>
      </c>
      <c r="I12" s="5">
        <f t="shared" si="3"/>
        <v>11.670475711992118</v>
      </c>
      <c r="J12" s="4"/>
      <c r="K12" s="3">
        <v>1722</v>
      </c>
      <c r="L12" s="3">
        <v>6937</v>
      </c>
      <c r="M12" s="3">
        <f t="shared" si="4"/>
        <v>505</v>
      </c>
      <c r="N12" s="3">
        <f t="shared" si="5"/>
        <v>1321</v>
      </c>
      <c r="O12" s="3">
        <f t="shared" si="6"/>
        <v>0.38228614685844059</v>
      </c>
      <c r="P12" s="5">
        <f t="shared" si="7"/>
        <v>20.921162765175161</v>
      </c>
      <c r="Q12" s="13">
        <f t="shared" si="8"/>
        <v>0.55783112262854229</v>
      </c>
    </row>
    <row r="13" spans="1:19" x14ac:dyDescent="0.3">
      <c r="A13" s="1">
        <v>3091</v>
      </c>
      <c r="B13" s="1">
        <v>23786</v>
      </c>
      <c r="D13" s="1">
        <v>2380</v>
      </c>
      <c r="E13" s="1">
        <v>20482</v>
      </c>
      <c r="F13" s="1">
        <f t="shared" si="0"/>
        <v>711</v>
      </c>
      <c r="G13" s="1">
        <f t="shared" si="1"/>
        <v>3304</v>
      </c>
      <c r="H13" s="1">
        <f t="shared" si="2"/>
        <v>0.21519370460048426</v>
      </c>
      <c r="I13" s="2">
        <f t="shared" si="3"/>
        <v>12.144487845063622</v>
      </c>
      <c r="K13" s="1">
        <v>2696</v>
      </c>
      <c r="L13" s="1">
        <v>25768</v>
      </c>
      <c r="M13" s="1">
        <f t="shared" si="4"/>
        <v>395</v>
      </c>
      <c r="N13" s="1">
        <f t="shared" si="5"/>
        <v>1982</v>
      </c>
      <c r="O13" s="1">
        <f t="shared" si="6"/>
        <v>0.19929364278506559</v>
      </c>
      <c r="P13" s="2">
        <f t="shared" si="7"/>
        <v>11.271012493922809</v>
      </c>
      <c r="Q13">
        <f t="shared" si="8"/>
        <v>1.0774975053582614</v>
      </c>
    </row>
    <row r="14" spans="1:19" x14ac:dyDescent="0.3">
      <c r="A14" s="1">
        <v>3303</v>
      </c>
      <c r="B14" s="1">
        <v>30063</v>
      </c>
      <c r="D14" s="1">
        <v>2696</v>
      </c>
      <c r="E14" s="1">
        <v>25768</v>
      </c>
      <c r="F14" s="1">
        <f t="shared" si="0"/>
        <v>607</v>
      </c>
      <c r="G14" s="1">
        <f t="shared" si="1"/>
        <v>4295</v>
      </c>
      <c r="H14" s="1">
        <f t="shared" si="2"/>
        <v>0.14132712456344587</v>
      </c>
      <c r="I14" s="2">
        <f t="shared" si="3"/>
        <v>8.0441736934365142</v>
      </c>
      <c r="K14" s="1">
        <v>2844</v>
      </c>
      <c r="L14" s="1">
        <v>32045</v>
      </c>
      <c r="M14" s="1">
        <f t="shared" si="4"/>
        <v>459</v>
      </c>
      <c r="N14" s="1">
        <f t="shared" si="5"/>
        <v>1982</v>
      </c>
      <c r="O14" s="1">
        <f t="shared" si="6"/>
        <v>0.23158425832492432</v>
      </c>
      <c r="P14" s="2">
        <f t="shared" si="7"/>
        <v>13.038945389702368</v>
      </c>
      <c r="Q14">
        <f t="shared" si="8"/>
        <v>0.61693438027507019</v>
      </c>
    </row>
    <row r="15" spans="1:19" x14ac:dyDescent="0.3">
      <c r="A15" s="1">
        <v>2853</v>
      </c>
      <c r="B15" s="1">
        <v>34028</v>
      </c>
      <c r="D15" s="1">
        <v>2766</v>
      </c>
      <c r="E15" s="1">
        <v>32706</v>
      </c>
      <c r="F15" s="1">
        <f t="shared" si="0"/>
        <v>87</v>
      </c>
      <c r="G15" s="1">
        <f t="shared" si="1"/>
        <v>1322</v>
      </c>
      <c r="H15" s="1">
        <f t="shared" si="2"/>
        <v>6.580937972768533E-2</v>
      </c>
      <c r="I15" s="2">
        <f t="shared" si="3"/>
        <v>3.7651704804627273</v>
      </c>
      <c r="K15" s="1">
        <v>2744</v>
      </c>
      <c r="L15" s="1">
        <v>35679</v>
      </c>
      <c r="M15" s="1">
        <f t="shared" si="4"/>
        <v>109</v>
      </c>
      <c r="N15" s="1">
        <f t="shared" si="5"/>
        <v>1651</v>
      </c>
      <c r="O15" s="1">
        <f t="shared" si="6"/>
        <v>6.6020593579648693E-2</v>
      </c>
      <c r="P15" s="2">
        <f t="shared" si="7"/>
        <v>3.7772197910414378</v>
      </c>
      <c r="Q15">
        <f t="shared" si="8"/>
        <v>0.99681000544175691</v>
      </c>
    </row>
    <row r="16" spans="1:19" x14ac:dyDescent="0.3">
      <c r="A16" s="1">
        <v>2993</v>
      </c>
      <c r="B16" s="1">
        <v>39644</v>
      </c>
      <c r="D16" s="1">
        <v>2662</v>
      </c>
      <c r="E16" s="1">
        <v>38653</v>
      </c>
      <c r="F16" s="1">
        <f t="shared" si="0"/>
        <v>331</v>
      </c>
      <c r="G16" s="1">
        <f t="shared" si="1"/>
        <v>991</v>
      </c>
      <c r="H16" s="1">
        <f t="shared" si="2"/>
        <v>0.33400605449041371</v>
      </c>
      <c r="I16" s="2">
        <f t="shared" si="3"/>
        <v>18.469631493935911</v>
      </c>
      <c r="K16" s="1">
        <v>2748</v>
      </c>
      <c r="L16" s="1">
        <v>40305</v>
      </c>
      <c r="M16" s="1">
        <f t="shared" si="4"/>
        <v>245</v>
      </c>
      <c r="N16" s="1">
        <f t="shared" si="5"/>
        <v>661</v>
      </c>
      <c r="O16" s="1">
        <f t="shared" si="6"/>
        <v>0.37065052950075644</v>
      </c>
      <c r="P16" s="2">
        <f t="shared" si="7"/>
        <v>20.337251176205314</v>
      </c>
      <c r="Q16">
        <f t="shared" si="8"/>
        <v>0.90816754604208616</v>
      </c>
    </row>
    <row r="17" spans="1:17" x14ac:dyDescent="0.3">
      <c r="A17" s="1">
        <v>2908</v>
      </c>
      <c r="B17" s="1">
        <v>44599</v>
      </c>
      <c r="D17" s="1">
        <v>2652</v>
      </c>
      <c r="E17" s="1">
        <v>42287</v>
      </c>
      <c r="F17" s="1">
        <f t="shared" si="0"/>
        <v>256</v>
      </c>
      <c r="G17" s="1">
        <f t="shared" si="1"/>
        <v>2312</v>
      </c>
      <c r="H17" s="1">
        <f t="shared" si="2"/>
        <v>0.11072664359861592</v>
      </c>
      <c r="I17" s="2">
        <f t="shared" si="3"/>
        <v>6.3184311014897725</v>
      </c>
      <c r="K17" s="1">
        <v>2846</v>
      </c>
      <c r="L17" s="1">
        <v>45590</v>
      </c>
      <c r="M17" s="1">
        <f t="shared" si="4"/>
        <v>62</v>
      </c>
      <c r="N17" s="1">
        <f t="shared" si="5"/>
        <v>991</v>
      </c>
      <c r="O17" s="1">
        <f t="shared" si="6"/>
        <v>6.2563067608476283E-2</v>
      </c>
      <c r="P17" s="2">
        <f t="shared" si="7"/>
        <v>3.5799338083079242</v>
      </c>
      <c r="Q17">
        <f t="shared" si="8"/>
        <v>1.7649575215124478</v>
      </c>
    </row>
    <row r="18" spans="1:17" x14ac:dyDescent="0.3">
      <c r="A18" s="1">
        <v>2909</v>
      </c>
      <c r="B18" s="1">
        <v>49555</v>
      </c>
      <c r="D18" s="1">
        <v>2773</v>
      </c>
      <c r="E18" s="1">
        <v>46251</v>
      </c>
      <c r="F18" s="1">
        <f t="shared" si="0"/>
        <v>136</v>
      </c>
      <c r="G18" s="1">
        <f t="shared" si="1"/>
        <v>3304</v>
      </c>
      <c r="H18" s="1">
        <f t="shared" si="2"/>
        <v>4.1162227602905568E-2</v>
      </c>
      <c r="I18" s="2">
        <f t="shared" si="3"/>
        <v>2.3570912885870676</v>
      </c>
      <c r="K18" s="1">
        <v>2695</v>
      </c>
      <c r="L18" s="1">
        <v>49885</v>
      </c>
      <c r="M18" s="1">
        <f t="shared" si="4"/>
        <v>214</v>
      </c>
      <c r="N18" s="1">
        <f t="shared" si="5"/>
        <v>330</v>
      </c>
      <c r="O18" s="1">
        <f t="shared" si="6"/>
        <v>0.64848484848484844</v>
      </c>
      <c r="P18" s="2">
        <f t="shared" si="7"/>
        <v>32.962797679634249</v>
      </c>
      <c r="Q18">
        <f t="shared" si="8"/>
        <v>7.1507622365542534E-2</v>
      </c>
    </row>
    <row r="19" spans="1:17" x14ac:dyDescent="0.3">
      <c r="A19" s="1">
        <v>2951</v>
      </c>
      <c r="B19" s="1">
        <v>53189</v>
      </c>
      <c r="D19" s="1">
        <v>2712</v>
      </c>
      <c r="E19" s="1">
        <v>50546</v>
      </c>
      <c r="F19" s="1">
        <f t="shared" si="0"/>
        <v>239</v>
      </c>
      <c r="G19" s="1">
        <f t="shared" si="1"/>
        <v>2643</v>
      </c>
      <c r="H19" s="1">
        <f t="shared" si="2"/>
        <v>9.0427544457056377E-2</v>
      </c>
      <c r="I19" s="2">
        <f t="shared" si="3"/>
        <v>5.1670632946006601</v>
      </c>
      <c r="K19" s="1">
        <v>2783</v>
      </c>
      <c r="L19" s="1">
        <v>54184</v>
      </c>
      <c r="M19" s="1">
        <f t="shared" si="4"/>
        <v>168</v>
      </c>
      <c r="N19" s="1">
        <f t="shared" si="5"/>
        <v>995</v>
      </c>
      <c r="O19" s="1">
        <f t="shared" si="6"/>
        <v>0.16884422110552763</v>
      </c>
      <c r="P19" s="2">
        <f t="shared" si="7"/>
        <v>9.5836718365607823</v>
      </c>
      <c r="Q19">
        <f t="shared" si="8"/>
        <v>0.53915277804993411</v>
      </c>
    </row>
    <row r="20" spans="1:17" x14ac:dyDescent="0.3">
      <c r="A20" s="1">
        <v>2858</v>
      </c>
      <c r="B20" s="1">
        <v>61779</v>
      </c>
      <c r="D20" s="1">
        <v>2467</v>
      </c>
      <c r="E20" s="1">
        <v>58475</v>
      </c>
      <c r="F20" s="1">
        <f t="shared" si="0"/>
        <v>391</v>
      </c>
      <c r="G20" s="1">
        <f t="shared" si="1"/>
        <v>3304</v>
      </c>
      <c r="H20" s="1">
        <f t="shared" si="2"/>
        <v>0.11834140435835351</v>
      </c>
      <c r="I20" s="2">
        <f t="shared" si="3"/>
        <v>6.7490735953197598</v>
      </c>
      <c r="K20" s="1">
        <v>2490</v>
      </c>
      <c r="L20" s="1">
        <v>63761</v>
      </c>
      <c r="M20" s="1">
        <f t="shared" si="4"/>
        <v>368</v>
      </c>
      <c r="N20" s="1">
        <f t="shared" si="5"/>
        <v>1982</v>
      </c>
      <c r="O20" s="1">
        <f t="shared" si="6"/>
        <v>0.18567103935418769</v>
      </c>
      <c r="P20" s="2">
        <f t="shared" si="7"/>
        <v>10.5183890721247</v>
      </c>
      <c r="Q20">
        <f t="shared" si="8"/>
        <v>0.64164517484961758</v>
      </c>
    </row>
    <row r="21" spans="1:17" x14ac:dyDescent="0.3">
      <c r="A21" s="1">
        <v>2514</v>
      </c>
      <c r="B21" s="1">
        <v>66073</v>
      </c>
      <c r="D21" s="1">
        <v>2451</v>
      </c>
      <c r="E21" s="1">
        <v>65743</v>
      </c>
      <c r="F21" s="1">
        <f t="shared" si="0"/>
        <v>63</v>
      </c>
      <c r="G21" s="1">
        <f t="shared" si="1"/>
        <v>330</v>
      </c>
      <c r="H21" s="1">
        <f t="shared" si="2"/>
        <v>0.19090909090909092</v>
      </c>
      <c r="I21" s="2">
        <f t="shared" si="3"/>
        <v>10.808230940319792</v>
      </c>
      <c r="K21" s="1">
        <v>2182</v>
      </c>
      <c r="L21" s="1">
        <v>67725</v>
      </c>
      <c r="M21" s="1">
        <f t="shared" si="4"/>
        <v>332</v>
      </c>
      <c r="N21" s="1">
        <f t="shared" si="5"/>
        <v>1652</v>
      </c>
      <c r="O21" s="1">
        <f t="shared" si="6"/>
        <v>0.2009685230024213</v>
      </c>
      <c r="P21" s="2">
        <f t="shared" si="7"/>
        <v>11.363280484221018</v>
      </c>
      <c r="Q21">
        <f t="shared" si="8"/>
        <v>0.95115411041098874</v>
      </c>
    </row>
    <row r="22" spans="1:17" x14ac:dyDescent="0.3">
      <c r="A22" s="1">
        <v>2246</v>
      </c>
      <c r="B22" s="1">
        <v>70368</v>
      </c>
      <c r="D22" s="1">
        <v>2085</v>
      </c>
      <c r="E22" s="1">
        <v>68716</v>
      </c>
      <c r="F22" s="1">
        <f t="shared" si="0"/>
        <v>161</v>
      </c>
      <c r="G22" s="1">
        <f t="shared" si="1"/>
        <v>1652</v>
      </c>
      <c r="H22" s="1">
        <f t="shared" si="2"/>
        <v>9.7457627118644072E-2</v>
      </c>
      <c r="I22" s="2">
        <f t="shared" si="3"/>
        <v>5.5663321426909746</v>
      </c>
      <c r="K22" s="1">
        <v>2200</v>
      </c>
      <c r="L22" s="1">
        <v>70699</v>
      </c>
      <c r="M22" s="1">
        <f t="shared" si="4"/>
        <v>46</v>
      </c>
      <c r="N22" s="1">
        <f t="shared" si="5"/>
        <v>331</v>
      </c>
      <c r="O22" s="1">
        <f t="shared" si="6"/>
        <v>0.13897280966767372</v>
      </c>
      <c r="P22" s="2">
        <f t="shared" si="7"/>
        <v>7.9118799579711059</v>
      </c>
      <c r="Q22">
        <f t="shared" si="8"/>
        <v>0.70354102593315693</v>
      </c>
    </row>
    <row r="23" spans="1:17" x14ac:dyDescent="0.3">
      <c r="A23" s="1">
        <v>2488</v>
      </c>
      <c r="B23" s="1">
        <v>72020</v>
      </c>
      <c r="D23" s="1">
        <v>2248</v>
      </c>
      <c r="E23" s="1">
        <v>70368</v>
      </c>
      <c r="F23" s="1">
        <f t="shared" si="0"/>
        <v>240</v>
      </c>
      <c r="G23" s="1">
        <f t="shared" si="1"/>
        <v>1652</v>
      </c>
      <c r="H23" s="1">
        <f t="shared" si="2"/>
        <v>0.14527845036319612</v>
      </c>
      <c r="I23" s="2">
        <f t="shared" si="3"/>
        <v>8.2660121150346555</v>
      </c>
      <c r="K23" s="1">
        <v>2039</v>
      </c>
      <c r="L23" s="1">
        <v>73672</v>
      </c>
      <c r="M23" s="1">
        <f t="shared" si="4"/>
        <v>449</v>
      </c>
      <c r="N23" s="1">
        <f t="shared" si="5"/>
        <v>1652</v>
      </c>
      <c r="O23" s="1">
        <f t="shared" si="6"/>
        <v>0.27179176755447942</v>
      </c>
      <c r="P23" s="2">
        <f t="shared" si="7"/>
        <v>15.205217170938287</v>
      </c>
      <c r="Q23">
        <f t="shared" si="8"/>
        <v>0.5436299937125183</v>
      </c>
    </row>
    <row r="24" spans="1:17" x14ac:dyDescent="0.3">
      <c r="A24" s="1">
        <v>2880</v>
      </c>
      <c r="B24" s="1">
        <v>77967</v>
      </c>
      <c r="D24" s="1">
        <v>2380</v>
      </c>
      <c r="E24" s="1">
        <v>75324</v>
      </c>
      <c r="F24" s="1">
        <f t="shared" si="0"/>
        <v>500</v>
      </c>
      <c r="G24" s="1">
        <f t="shared" si="1"/>
        <v>2643</v>
      </c>
      <c r="H24" s="1">
        <f t="shared" si="2"/>
        <v>0.18917896329928113</v>
      </c>
      <c r="I24" s="2">
        <f t="shared" si="3"/>
        <v>10.712557367604385</v>
      </c>
      <c r="K24" s="1">
        <v>2263</v>
      </c>
      <c r="L24" s="1">
        <v>79649</v>
      </c>
      <c r="M24" s="1">
        <f t="shared" si="4"/>
        <v>617</v>
      </c>
      <c r="N24" s="1">
        <f t="shared" si="5"/>
        <v>1682</v>
      </c>
      <c r="O24" s="1">
        <f t="shared" si="6"/>
        <v>0.36682520808561236</v>
      </c>
      <c r="P24" s="2">
        <f t="shared" si="7"/>
        <v>20.144310244904393</v>
      </c>
      <c r="Q24">
        <f t="shared" si="8"/>
        <v>0.53179072588569676</v>
      </c>
    </row>
    <row r="25" spans="1:17" x14ac:dyDescent="0.3">
      <c r="A25" s="1">
        <v>2690</v>
      </c>
      <c r="B25" s="1">
        <v>83913</v>
      </c>
      <c r="D25" s="1">
        <v>2482</v>
      </c>
      <c r="E25" s="1">
        <v>81931</v>
      </c>
      <c r="F25" s="1">
        <f t="shared" si="0"/>
        <v>208</v>
      </c>
      <c r="G25" s="1">
        <f t="shared" si="1"/>
        <v>1982</v>
      </c>
      <c r="H25" s="1">
        <f t="shared" si="2"/>
        <v>0.10494450050454086</v>
      </c>
      <c r="I25" s="2">
        <f t="shared" si="3"/>
        <v>5.9909477200781538</v>
      </c>
      <c r="K25" s="1">
        <v>2009</v>
      </c>
      <c r="L25" s="1">
        <v>87878</v>
      </c>
      <c r="M25" s="1">
        <f t="shared" si="4"/>
        <v>681</v>
      </c>
      <c r="N25" s="1">
        <f t="shared" si="5"/>
        <v>3965</v>
      </c>
      <c r="O25" s="1">
        <f t="shared" si="6"/>
        <v>0.17175283732660782</v>
      </c>
      <c r="P25" s="2">
        <f t="shared" si="7"/>
        <v>9.7456262340638808</v>
      </c>
      <c r="Q25">
        <f t="shared" si="8"/>
        <v>0.61473193986631647</v>
      </c>
    </row>
    <row r="26" spans="1:17" x14ac:dyDescent="0.3">
      <c r="A26" s="1">
        <v>2710</v>
      </c>
      <c r="B26" s="1">
        <v>101990</v>
      </c>
      <c r="D26" s="1">
        <v>2148</v>
      </c>
      <c r="E26" s="1">
        <v>98291</v>
      </c>
      <c r="F26" s="1">
        <f t="shared" si="0"/>
        <v>562</v>
      </c>
      <c r="G26" s="1">
        <f t="shared" si="1"/>
        <v>3699</v>
      </c>
      <c r="H26" s="1">
        <f t="shared" si="2"/>
        <v>0.15193295485266289</v>
      </c>
      <c r="I26" s="2">
        <f t="shared" si="3"/>
        <v>8.6390478862125857</v>
      </c>
      <c r="K26" s="1">
        <v>2458</v>
      </c>
      <c r="L26" s="1">
        <v>104681</v>
      </c>
      <c r="M26" s="1">
        <f t="shared" si="4"/>
        <v>252</v>
      </c>
      <c r="N26" s="1">
        <f t="shared" si="5"/>
        <v>2691</v>
      </c>
      <c r="O26" s="1">
        <f t="shared" si="6"/>
        <v>9.3645484949832769E-2</v>
      </c>
      <c r="P26" s="2">
        <f t="shared" si="7"/>
        <v>5.3498888866898273</v>
      </c>
      <c r="Q26">
        <f t="shared" si="8"/>
        <v>1.6148088435455119</v>
      </c>
    </row>
    <row r="27" spans="1:17" x14ac:dyDescent="0.3">
      <c r="A27" s="1">
        <v>2574</v>
      </c>
      <c r="B27" s="1">
        <v>106362</v>
      </c>
      <c r="D27" s="1">
        <v>2457</v>
      </c>
      <c r="E27" s="1">
        <v>105353</v>
      </c>
      <c r="F27" s="1">
        <f t="shared" si="0"/>
        <v>117</v>
      </c>
      <c r="G27" s="1">
        <f t="shared" si="1"/>
        <v>1009</v>
      </c>
      <c r="H27" s="1">
        <f t="shared" si="2"/>
        <v>0.1159563924677899</v>
      </c>
      <c r="I27" s="2">
        <f t="shared" si="3"/>
        <v>6.6142725318563933</v>
      </c>
      <c r="K27" s="1">
        <v>2156</v>
      </c>
      <c r="L27" s="1">
        <v>108716</v>
      </c>
      <c r="M27" s="1">
        <f t="shared" si="4"/>
        <v>418</v>
      </c>
      <c r="N27" s="1">
        <f t="shared" si="5"/>
        <v>2354</v>
      </c>
      <c r="O27" s="1">
        <f t="shared" si="6"/>
        <v>0.17757009345794392</v>
      </c>
      <c r="P27" s="2">
        <f t="shared" si="7"/>
        <v>10.069062698889422</v>
      </c>
      <c r="Q27">
        <f t="shared" si="8"/>
        <v>0.65689058948713486</v>
      </c>
    </row>
    <row r="28" spans="1:17" x14ac:dyDescent="0.3">
      <c r="A28" s="1">
        <v>2287</v>
      </c>
      <c r="B28" s="1">
        <v>113088</v>
      </c>
      <c r="D28" s="1">
        <v>2198</v>
      </c>
      <c r="E28" s="1">
        <v>110398</v>
      </c>
      <c r="F28" s="1">
        <f t="shared" si="0"/>
        <v>89</v>
      </c>
      <c r="G28" s="1">
        <f t="shared" si="1"/>
        <v>2690</v>
      </c>
      <c r="H28" s="1">
        <f t="shared" si="2"/>
        <v>3.3085501858736058E-2</v>
      </c>
      <c r="I28" s="2">
        <f t="shared" si="3"/>
        <v>1.8949683786467442</v>
      </c>
      <c r="K28" s="1">
        <v>2196</v>
      </c>
      <c r="L28" s="1">
        <v>114097</v>
      </c>
      <c r="M28" s="1">
        <f t="shared" si="4"/>
        <v>91</v>
      </c>
      <c r="N28" s="1">
        <f t="shared" si="5"/>
        <v>1009</v>
      </c>
      <c r="O28" s="1">
        <f t="shared" si="6"/>
        <v>9.0188305252725476E-2</v>
      </c>
      <c r="P28" s="2">
        <f t="shared" si="7"/>
        <v>5.1534667845880815</v>
      </c>
      <c r="Q28">
        <f t="shared" si="8"/>
        <v>0.36770749824444821</v>
      </c>
    </row>
    <row r="29" spans="1:17" x14ac:dyDescent="0.3">
      <c r="A29" s="1">
        <v>2613</v>
      </c>
      <c r="B29" s="1">
        <v>117460</v>
      </c>
      <c r="D29" s="1">
        <v>2235</v>
      </c>
      <c r="E29" s="1">
        <v>115442</v>
      </c>
      <c r="F29" s="1">
        <f t="shared" si="0"/>
        <v>378</v>
      </c>
      <c r="G29" s="1">
        <f t="shared" si="1"/>
        <v>2018</v>
      </c>
      <c r="H29" s="1">
        <f t="shared" si="2"/>
        <v>0.18731417244796827</v>
      </c>
      <c r="I29" s="2">
        <f t="shared" si="3"/>
        <v>10.609369396393737</v>
      </c>
      <c r="K29" s="1">
        <v>2187</v>
      </c>
      <c r="L29" s="1">
        <v>119141</v>
      </c>
      <c r="M29" s="1">
        <f t="shared" si="4"/>
        <v>426</v>
      </c>
      <c r="N29" s="1">
        <f t="shared" si="5"/>
        <v>1681</v>
      </c>
      <c r="O29" s="1">
        <f t="shared" si="6"/>
        <v>0.25342058298631764</v>
      </c>
      <c r="P29" s="2">
        <f t="shared" si="7"/>
        <v>14.220550934139323</v>
      </c>
      <c r="Q29">
        <f t="shared" si="8"/>
        <v>0.74605895689482671</v>
      </c>
    </row>
    <row r="30" spans="1:17" x14ac:dyDescent="0.3">
      <c r="A30" s="1">
        <v>3396</v>
      </c>
      <c r="B30" s="1">
        <v>126876</v>
      </c>
      <c r="D30" s="1">
        <v>2379</v>
      </c>
      <c r="E30" s="1">
        <v>122841</v>
      </c>
      <c r="F30" s="1">
        <f t="shared" si="0"/>
        <v>1017</v>
      </c>
      <c r="G30" s="1">
        <f t="shared" si="1"/>
        <v>4035</v>
      </c>
      <c r="H30" s="1">
        <f t="shared" si="2"/>
        <v>0.25204460966542752</v>
      </c>
      <c r="I30" s="2">
        <f t="shared" si="3"/>
        <v>14.146446789736952</v>
      </c>
      <c r="K30" s="1">
        <v>2225</v>
      </c>
      <c r="L30" s="1">
        <v>130239</v>
      </c>
      <c r="M30" s="1">
        <f t="shared" si="4"/>
        <v>1171</v>
      </c>
      <c r="N30" s="1">
        <f t="shared" si="5"/>
        <v>3363</v>
      </c>
      <c r="O30" s="1">
        <f t="shared" si="6"/>
        <v>0.34820101100208145</v>
      </c>
      <c r="P30" s="2">
        <f t="shared" si="7"/>
        <v>19.198168946321545</v>
      </c>
      <c r="Q30">
        <f t="shared" si="8"/>
        <v>0.73686437645645764</v>
      </c>
    </row>
    <row r="31" spans="1:17" ht="13.2" customHeight="1" x14ac:dyDescent="0.3">
      <c r="A31" s="3">
        <v>3297</v>
      </c>
      <c r="B31" s="3">
        <v>6301</v>
      </c>
      <c r="C31" s="4"/>
      <c r="D31" s="3">
        <v>2914</v>
      </c>
      <c r="E31" s="3">
        <v>4550</v>
      </c>
      <c r="F31" s="3">
        <f t="shared" si="0"/>
        <v>383</v>
      </c>
      <c r="G31" s="3">
        <f t="shared" si="1"/>
        <v>1751</v>
      </c>
      <c r="H31" s="3">
        <f t="shared" si="2"/>
        <v>0.21873215305539692</v>
      </c>
      <c r="I31" s="5">
        <f t="shared" si="3"/>
        <v>12.338111416430063</v>
      </c>
      <c r="J31" s="4"/>
      <c r="K31" s="3">
        <v>3010</v>
      </c>
      <c r="L31" s="3">
        <v>7701</v>
      </c>
      <c r="M31" s="3">
        <f t="shared" si="4"/>
        <v>287</v>
      </c>
      <c r="N31" s="3">
        <f t="shared" si="5"/>
        <v>1400</v>
      </c>
      <c r="O31" s="3">
        <f t="shared" si="6"/>
        <v>0.20499999999999999</v>
      </c>
      <c r="P31" s="5">
        <f t="shared" si="7"/>
        <v>11.585126224855047</v>
      </c>
      <c r="Q31" s="4">
        <f t="shared" si="8"/>
        <v>1.0649958556307777</v>
      </c>
    </row>
    <row r="32" spans="1:17" x14ac:dyDescent="0.3">
      <c r="A32" s="1">
        <v>3146</v>
      </c>
      <c r="B32" s="1">
        <v>12602</v>
      </c>
      <c r="D32" s="1">
        <v>2951</v>
      </c>
      <c r="E32" s="1">
        <v>10501</v>
      </c>
      <c r="F32" s="1">
        <f t="shared" si="0"/>
        <v>195</v>
      </c>
      <c r="G32" s="1">
        <f t="shared" si="1"/>
        <v>2101</v>
      </c>
      <c r="H32" s="1">
        <f t="shared" si="2"/>
        <v>9.2812946216087572E-2</v>
      </c>
      <c r="I32" s="2">
        <f t="shared" si="3"/>
        <v>5.3025989628019632</v>
      </c>
      <c r="K32" s="1">
        <v>3061</v>
      </c>
      <c r="L32" s="1">
        <v>14352</v>
      </c>
      <c r="M32" s="1">
        <f t="shared" si="4"/>
        <v>85</v>
      </c>
      <c r="N32" s="1">
        <f t="shared" si="5"/>
        <v>1750</v>
      </c>
      <c r="O32" s="1">
        <f t="shared" si="6"/>
        <v>4.8571428571428571E-2</v>
      </c>
      <c r="P32" s="2">
        <f t="shared" si="7"/>
        <v>2.7807524674897768</v>
      </c>
      <c r="Q32">
        <f t="shared" si="8"/>
        <v>1.9068935566165988</v>
      </c>
    </row>
    <row r="33" spans="1:17" x14ac:dyDescent="0.3">
      <c r="A33" s="1">
        <v>3243</v>
      </c>
      <c r="B33" s="1">
        <v>15402</v>
      </c>
      <c r="D33" s="1">
        <v>3065</v>
      </c>
      <c r="E33" s="1">
        <v>14702</v>
      </c>
      <c r="F33" s="1">
        <f t="shared" si="0"/>
        <v>178</v>
      </c>
      <c r="G33" s="1">
        <f t="shared" si="1"/>
        <v>700</v>
      </c>
      <c r="H33" s="1">
        <f t="shared" si="2"/>
        <v>0.25428571428571428</v>
      </c>
      <c r="I33" s="2">
        <f t="shared" si="3"/>
        <v>14.267118428599508</v>
      </c>
      <c r="K33" s="1">
        <v>3114</v>
      </c>
      <c r="L33" s="1">
        <v>17503</v>
      </c>
      <c r="M33" s="1">
        <f t="shared" si="4"/>
        <v>129</v>
      </c>
      <c r="N33" s="1">
        <f t="shared" si="5"/>
        <v>2101</v>
      </c>
      <c r="O33" s="1">
        <f t="shared" si="6"/>
        <v>6.1399333650642554E-2</v>
      </c>
      <c r="P33" s="2">
        <f t="shared" si="7"/>
        <v>3.5135119422684395</v>
      </c>
      <c r="Q33">
        <f t="shared" si="8"/>
        <v>4.0606432148308524</v>
      </c>
    </row>
    <row r="34" spans="1:17" x14ac:dyDescent="0.3">
      <c r="A34" s="1">
        <v>3228</v>
      </c>
      <c r="B34" s="1">
        <v>24154</v>
      </c>
      <c r="D34" s="1">
        <v>2992</v>
      </c>
      <c r="E34" s="1">
        <v>20653</v>
      </c>
      <c r="F34" s="1">
        <f t="shared" si="0"/>
        <v>236</v>
      </c>
      <c r="G34" s="1">
        <f t="shared" si="1"/>
        <v>3501</v>
      </c>
      <c r="H34" s="1">
        <f t="shared" si="2"/>
        <v>6.7409311625249935E-2</v>
      </c>
      <c r="I34" s="2">
        <f t="shared" si="3"/>
        <v>3.8564348842207767</v>
      </c>
      <c r="K34" s="1">
        <v>2976</v>
      </c>
      <c r="L34" s="1">
        <v>25904</v>
      </c>
      <c r="M34" s="1">
        <f t="shared" si="4"/>
        <v>252</v>
      </c>
      <c r="N34" s="1">
        <f t="shared" si="5"/>
        <v>1750</v>
      </c>
      <c r="O34" s="1">
        <f t="shared" si="6"/>
        <v>0.14399999999999999</v>
      </c>
      <c r="P34" s="2">
        <f t="shared" si="7"/>
        <v>8.1942633346302109</v>
      </c>
      <c r="Q34">
        <f t="shared" si="8"/>
        <v>0.47062618404303563</v>
      </c>
    </row>
    <row r="35" spans="1:17" s="4" customFormat="1" x14ac:dyDescent="0.3">
      <c r="A35" s="3">
        <v>2911</v>
      </c>
      <c r="B35" s="3">
        <v>7350</v>
      </c>
      <c r="D35" s="3">
        <v>2114</v>
      </c>
      <c r="E35" s="3">
        <v>3007</v>
      </c>
      <c r="F35" s="3">
        <f t="shared" si="0"/>
        <v>797</v>
      </c>
      <c r="G35" s="3">
        <f t="shared" si="1"/>
        <v>4343</v>
      </c>
      <c r="H35" s="3">
        <f t="shared" si="2"/>
        <v>0.18351370020723001</v>
      </c>
      <c r="I35" s="5">
        <f t="shared" si="3"/>
        <v>10.398855705216974</v>
      </c>
      <c r="K35" s="3">
        <v>2436</v>
      </c>
      <c r="L35" s="3">
        <v>8687</v>
      </c>
      <c r="M35" s="3">
        <f t="shared" si="4"/>
        <v>475</v>
      </c>
      <c r="N35" s="3">
        <f t="shared" si="5"/>
        <v>1337</v>
      </c>
      <c r="O35" s="3">
        <f t="shared" si="6"/>
        <v>0.35527299925205685</v>
      </c>
      <c r="P35" s="5">
        <f t="shared" si="7"/>
        <v>19.558752212299236</v>
      </c>
      <c r="Q35" s="4">
        <f t="shared" si="8"/>
        <v>0.53167275664333047</v>
      </c>
    </row>
    <row r="36" spans="1:17" x14ac:dyDescent="0.3">
      <c r="A36" s="1">
        <v>3016</v>
      </c>
      <c r="B36" s="1">
        <v>14033</v>
      </c>
      <c r="D36" s="1">
        <v>2882</v>
      </c>
      <c r="E36" s="1">
        <v>11694</v>
      </c>
      <c r="F36" s="1">
        <f t="shared" si="0"/>
        <v>134</v>
      </c>
      <c r="G36" s="1">
        <f t="shared" si="1"/>
        <v>2339</v>
      </c>
      <c r="H36" s="1">
        <f t="shared" si="2"/>
        <v>5.7289439931594702E-2</v>
      </c>
      <c r="I36" s="2">
        <f t="shared" si="3"/>
        <v>3.2788590937150781</v>
      </c>
      <c r="K36" s="1">
        <v>2830</v>
      </c>
      <c r="L36" s="1">
        <v>15704</v>
      </c>
      <c r="M36" s="1">
        <f t="shared" si="4"/>
        <v>186</v>
      </c>
      <c r="N36" s="1">
        <f t="shared" si="5"/>
        <v>1671</v>
      </c>
      <c r="O36" s="1">
        <f t="shared" si="6"/>
        <v>0.11131059245960502</v>
      </c>
      <c r="P36" s="2">
        <f t="shared" si="7"/>
        <v>6.3514815545348453</v>
      </c>
      <c r="Q36">
        <f t="shared" si="8"/>
        <v>0.51623531699844594</v>
      </c>
    </row>
    <row r="37" spans="1:17" x14ac:dyDescent="0.3">
      <c r="A37" s="1">
        <v>3613</v>
      </c>
      <c r="B37" s="1">
        <v>18043</v>
      </c>
      <c r="D37" s="1">
        <v>2830</v>
      </c>
      <c r="E37" s="1">
        <v>15704</v>
      </c>
      <c r="F37" s="1">
        <f t="shared" si="0"/>
        <v>783</v>
      </c>
      <c r="G37" s="1">
        <f t="shared" si="1"/>
        <v>2339</v>
      </c>
      <c r="H37" s="1">
        <f t="shared" si="2"/>
        <v>0.3347584437793929</v>
      </c>
      <c r="I37" s="2">
        <f t="shared" si="3"/>
        <v>18.508404910257404</v>
      </c>
      <c r="K37" s="1">
        <v>3180</v>
      </c>
      <c r="L37" s="1">
        <v>19045</v>
      </c>
      <c r="M37" s="1">
        <f t="shared" si="4"/>
        <v>433</v>
      </c>
      <c r="N37" s="1">
        <f t="shared" si="5"/>
        <v>1002</v>
      </c>
      <c r="O37" s="1">
        <f t="shared" si="6"/>
        <v>0.43213572854291415</v>
      </c>
      <c r="P37" s="2">
        <f t="shared" si="7"/>
        <v>23.370897763692671</v>
      </c>
      <c r="Q37">
        <f t="shared" si="8"/>
        <v>0.79194240193077725</v>
      </c>
    </row>
    <row r="38" spans="1:17" x14ac:dyDescent="0.3">
      <c r="A38" s="1">
        <v>3319</v>
      </c>
      <c r="B38" s="1">
        <v>19714</v>
      </c>
      <c r="D38" s="1">
        <v>3180</v>
      </c>
      <c r="E38" s="1">
        <v>19045</v>
      </c>
      <c r="F38" s="1">
        <f t="shared" si="0"/>
        <v>139</v>
      </c>
      <c r="G38" s="1">
        <f t="shared" si="1"/>
        <v>669</v>
      </c>
      <c r="H38" s="1">
        <f t="shared" si="2"/>
        <v>0.20777279521674141</v>
      </c>
      <c r="I38" s="2">
        <f t="shared" si="3"/>
        <v>11.737504980853622</v>
      </c>
      <c r="K38" s="1">
        <v>2203</v>
      </c>
      <c r="L38" s="1">
        <v>22052</v>
      </c>
      <c r="M38" s="1">
        <f t="shared" si="4"/>
        <v>1116</v>
      </c>
      <c r="N38" s="1">
        <f t="shared" si="5"/>
        <v>2338</v>
      </c>
      <c r="O38" s="1">
        <f t="shared" si="6"/>
        <v>0.47733105218135158</v>
      </c>
      <c r="P38" s="2">
        <f t="shared" si="7"/>
        <v>25.516592144898304</v>
      </c>
      <c r="Q38">
        <f t="shared" si="8"/>
        <v>0.45999500694297757</v>
      </c>
    </row>
    <row r="39" spans="1:17" x14ac:dyDescent="0.3">
      <c r="A39" s="1">
        <v>2338</v>
      </c>
      <c r="B39" s="1">
        <v>24726</v>
      </c>
      <c r="D39" s="1">
        <v>2097</v>
      </c>
      <c r="E39" s="1">
        <v>22721</v>
      </c>
      <c r="F39" s="1">
        <f t="shared" si="0"/>
        <v>241</v>
      </c>
      <c r="G39" s="1">
        <f t="shared" si="1"/>
        <v>2005</v>
      </c>
      <c r="H39" s="1">
        <f t="shared" si="2"/>
        <v>0.12019950124688279</v>
      </c>
      <c r="I39" s="2">
        <f t="shared" si="3"/>
        <v>6.8540414622640444</v>
      </c>
      <c r="K39" s="1">
        <v>1454</v>
      </c>
      <c r="L39" s="1">
        <v>28067</v>
      </c>
      <c r="M39" s="1">
        <f t="shared" si="4"/>
        <v>884</v>
      </c>
      <c r="N39" s="1">
        <f t="shared" si="5"/>
        <v>3341</v>
      </c>
      <c r="O39" s="1">
        <f t="shared" si="6"/>
        <v>0.26459143968871596</v>
      </c>
      <c r="P39" s="2">
        <f t="shared" si="7"/>
        <v>14.820352079522019</v>
      </c>
      <c r="Q39">
        <f t="shared" si="8"/>
        <v>0.46247494158621222</v>
      </c>
    </row>
    <row r="40" spans="1:17" x14ac:dyDescent="0.3">
      <c r="A40" s="1">
        <v>2868</v>
      </c>
      <c r="B40" s="1">
        <v>36754</v>
      </c>
      <c r="D40" s="1">
        <v>1591</v>
      </c>
      <c r="E40" s="1">
        <v>31408</v>
      </c>
      <c r="F40" s="1">
        <f t="shared" si="0"/>
        <v>1277</v>
      </c>
      <c r="G40" s="1">
        <f t="shared" si="1"/>
        <v>5346</v>
      </c>
      <c r="H40" s="1">
        <f t="shared" si="2"/>
        <v>0.23887018331462775</v>
      </c>
      <c r="I40" s="2">
        <f t="shared" si="3"/>
        <v>13.434509468142881</v>
      </c>
      <c r="K40" s="1">
        <v>2192</v>
      </c>
      <c r="L40" s="1">
        <v>39762</v>
      </c>
      <c r="M40" s="1">
        <f t="shared" si="4"/>
        <v>676</v>
      </c>
      <c r="N40" s="1">
        <f t="shared" si="5"/>
        <v>3008</v>
      </c>
      <c r="O40" s="1">
        <f t="shared" si="6"/>
        <v>0.22473404255319149</v>
      </c>
      <c r="P40" s="2">
        <f t="shared" si="7"/>
        <v>12.665878690506167</v>
      </c>
      <c r="Q40">
        <f t="shared" si="8"/>
        <v>1.060685152322898</v>
      </c>
    </row>
    <row r="41" spans="1:17" x14ac:dyDescent="0.3">
      <c r="A41" s="1">
        <v>2655</v>
      </c>
      <c r="B41" s="1">
        <v>41432</v>
      </c>
      <c r="D41" s="1">
        <v>2192</v>
      </c>
      <c r="E41" s="1">
        <v>39762</v>
      </c>
      <c r="F41" s="1">
        <f t="shared" si="0"/>
        <v>463</v>
      </c>
      <c r="G41" s="1">
        <f t="shared" si="1"/>
        <v>1670</v>
      </c>
      <c r="H41" s="1">
        <f t="shared" si="2"/>
        <v>0.27724550898203593</v>
      </c>
      <c r="I41" s="2">
        <f t="shared" si="3"/>
        <v>15.495794938141918</v>
      </c>
      <c r="K41" s="1">
        <v>2238</v>
      </c>
      <c r="L41" s="1">
        <v>42435</v>
      </c>
      <c r="M41" s="1">
        <f t="shared" si="4"/>
        <v>417</v>
      </c>
      <c r="N41" s="1">
        <f t="shared" si="5"/>
        <v>1003</v>
      </c>
      <c r="O41" s="1">
        <f t="shared" si="6"/>
        <v>0.41575274177467597</v>
      </c>
      <c r="P41" s="2">
        <f t="shared" si="7"/>
        <v>22.575232595716791</v>
      </c>
      <c r="Q41">
        <f t="shared" si="8"/>
        <v>0.68640687853120685</v>
      </c>
    </row>
    <row r="42" spans="1:17" x14ac:dyDescent="0.3">
      <c r="A42" s="1">
        <v>2762</v>
      </c>
      <c r="B42" s="1">
        <v>45776</v>
      </c>
      <c r="D42" s="1">
        <v>2260</v>
      </c>
      <c r="E42" s="1">
        <v>43103</v>
      </c>
      <c r="F42" s="1">
        <f t="shared" si="0"/>
        <v>502</v>
      </c>
      <c r="G42" s="1">
        <f t="shared" si="1"/>
        <v>2673</v>
      </c>
      <c r="H42" s="1">
        <f t="shared" si="2"/>
        <v>0.18780396558174337</v>
      </c>
      <c r="I42" s="2">
        <f t="shared" si="3"/>
        <v>10.636478809431193</v>
      </c>
      <c r="K42" s="1">
        <v>2298</v>
      </c>
      <c r="L42" s="1">
        <v>48115</v>
      </c>
      <c r="M42" s="1">
        <f t="shared" si="4"/>
        <v>464</v>
      </c>
      <c r="N42" s="1">
        <f t="shared" si="5"/>
        <v>2339</v>
      </c>
      <c r="O42" s="1">
        <f t="shared" si="6"/>
        <v>0.19837537409149208</v>
      </c>
      <c r="P42" s="2">
        <f t="shared" si="7"/>
        <v>11.220400528573791</v>
      </c>
      <c r="Q42">
        <f t="shared" si="8"/>
        <v>0.94795892377855961</v>
      </c>
    </row>
    <row r="43" spans="1:17" x14ac:dyDescent="0.3">
      <c r="A43" s="1">
        <v>2635</v>
      </c>
      <c r="B43" s="1">
        <v>49786</v>
      </c>
      <c r="D43" s="1">
        <v>2298</v>
      </c>
      <c r="E43" s="1">
        <v>48115</v>
      </c>
      <c r="F43" s="1">
        <f t="shared" si="0"/>
        <v>337</v>
      </c>
      <c r="G43" s="1">
        <f t="shared" si="1"/>
        <v>1671</v>
      </c>
      <c r="H43" s="1">
        <f t="shared" si="2"/>
        <v>0.20167564332734889</v>
      </c>
      <c r="I43" s="2">
        <f t="shared" si="3"/>
        <v>11.402217358917266</v>
      </c>
      <c r="K43" s="1">
        <v>1828</v>
      </c>
      <c r="L43" s="1">
        <v>51456</v>
      </c>
      <c r="M43" s="1">
        <f t="shared" si="4"/>
        <v>807</v>
      </c>
      <c r="N43" s="1">
        <f t="shared" si="5"/>
        <v>1670</v>
      </c>
      <c r="O43" s="1">
        <f t="shared" si="6"/>
        <v>0.48323353293413174</v>
      </c>
      <c r="P43" s="2">
        <f t="shared" si="7"/>
        <v>25.791391026154677</v>
      </c>
      <c r="Q43">
        <f t="shared" si="8"/>
        <v>0.44209392767355749</v>
      </c>
    </row>
    <row r="44" spans="1:17" x14ac:dyDescent="0.3">
      <c r="A44" s="3">
        <v>2328</v>
      </c>
      <c r="B44" s="3">
        <v>8948</v>
      </c>
      <c r="C44" s="4"/>
      <c r="D44" s="3">
        <v>130</v>
      </c>
      <c r="E44" s="3">
        <v>0</v>
      </c>
      <c r="F44" s="3">
        <f t="shared" si="0"/>
        <v>2198</v>
      </c>
      <c r="G44" s="3">
        <f t="shared" si="1"/>
        <v>8948</v>
      </c>
      <c r="H44" s="3">
        <f t="shared" si="2"/>
        <v>0.24564148413053197</v>
      </c>
      <c r="I44" s="5">
        <f t="shared" si="3"/>
        <v>13.800968622807812</v>
      </c>
      <c r="J44" s="4"/>
      <c r="K44" s="3">
        <v>1180</v>
      </c>
      <c r="L44" s="3">
        <v>10504</v>
      </c>
      <c r="M44" s="3">
        <f t="shared" si="4"/>
        <v>1148</v>
      </c>
      <c r="N44" s="3">
        <f t="shared" si="5"/>
        <v>1556</v>
      </c>
      <c r="O44" s="3">
        <f t="shared" si="6"/>
        <v>0.73778920308483287</v>
      </c>
      <c r="P44" s="5">
        <f t="shared" si="7"/>
        <v>36.419505677371923</v>
      </c>
      <c r="Q44" s="4">
        <f t="shared" si="8"/>
        <v>0.37894442459120459</v>
      </c>
    </row>
    <row r="45" spans="1:17" x14ac:dyDescent="0.3">
      <c r="A45" s="1">
        <v>2221</v>
      </c>
      <c r="B45" s="1">
        <v>15562</v>
      </c>
      <c r="D45" s="1">
        <v>1180</v>
      </c>
      <c r="E45" s="1">
        <v>10504</v>
      </c>
      <c r="F45" s="1">
        <f t="shared" si="0"/>
        <v>1041</v>
      </c>
      <c r="G45" s="1">
        <f t="shared" si="1"/>
        <v>5058</v>
      </c>
      <c r="H45" s="1">
        <f t="shared" si="2"/>
        <v>0.20581257413997628</v>
      </c>
      <c r="I45" s="2">
        <f t="shared" si="3"/>
        <v>11.62979849080344</v>
      </c>
      <c r="K45" s="1">
        <v>1083</v>
      </c>
      <c r="L45" s="1">
        <v>17897</v>
      </c>
      <c r="M45" s="1">
        <f t="shared" si="4"/>
        <v>1138</v>
      </c>
      <c r="N45" s="1">
        <f t="shared" si="5"/>
        <v>2335</v>
      </c>
      <c r="O45" s="1">
        <f t="shared" si="6"/>
        <v>0.48736616702355462</v>
      </c>
      <c r="P45" s="2">
        <f t="shared" si="7"/>
        <v>25.983037623584185</v>
      </c>
      <c r="Q45">
        <f t="shared" si="8"/>
        <v>0.44759195053650497</v>
      </c>
    </row>
    <row r="46" spans="1:17" x14ac:dyDescent="0.3">
      <c r="A46" s="1">
        <v>2007</v>
      </c>
      <c r="B46" s="1">
        <v>21787</v>
      </c>
      <c r="D46" s="1">
        <v>1145</v>
      </c>
      <c r="E46" s="1">
        <v>17508</v>
      </c>
      <c r="F46" s="1">
        <f t="shared" si="0"/>
        <v>862</v>
      </c>
      <c r="G46" s="1">
        <f t="shared" si="1"/>
        <v>4279</v>
      </c>
      <c r="H46" s="1">
        <f t="shared" si="2"/>
        <v>0.20144893666744568</v>
      </c>
      <c r="I46" s="2">
        <f t="shared" si="3"/>
        <v>11.389735143578024</v>
      </c>
      <c r="K46" s="1">
        <v>1490</v>
      </c>
      <c r="L46" s="1">
        <v>23344</v>
      </c>
      <c r="M46" s="1">
        <f t="shared" si="4"/>
        <v>517</v>
      </c>
      <c r="N46" s="1">
        <f t="shared" si="5"/>
        <v>1557</v>
      </c>
      <c r="O46" s="1">
        <f t="shared" si="6"/>
        <v>0.33204881181759793</v>
      </c>
      <c r="P46" s="2">
        <f t="shared" si="7"/>
        <v>18.368685422033554</v>
      </c>
      <c r="Q46">
        <f t="shared" si="8"/>
        <v>0.62006261645244576</v>
      </c>
    </row>
    <row r="47" spans="1:17" x14ac:dyDescent="0.3">
      <c r="A47" s="1">
        <v>2181</v>
      </c>
      <c r="B47" s="1">
        <v>27173</v>
      </c>
      <c r="C47" s="8"/>
      <c r="D47" s="1">
        <v>1490</v>
      </c>
      <c r="E47" s="1">
        <v>23679</v>
      </c>
      <c r="F47" s="1">
        <f t="shared" si="0"/>
        <v>691</v>
      </c>
      <c r="G47" s="1">
        <f t="shared" si="1"/>
        <v>3494</v>
      </c>
      <c r="H47" s="1">
        <f t="shared" si="2"/>
        <v>0.19776760160274756</v>
      </c>
      <c r="I47" s="2">
        <f t="shared" si="3"/>
        <v>11.186892334925053</v>
      </c>
      <c r="J47" s="8"/>
      <c r="K47" s="1">
        <v>1426</v>
      </c>
      <c r="L47" s="1">
        <v>29114</v>
      </c>
      <c r="M47" s="1">
        <f t="shared" si="4"/>
        <v>755</v>
      </c>
      <c r="N47" s="1">
        <f t="shared" si="5"/>
        <v>1941</v>
      </c>
      <c r="O47" s="1">
        <f t="shared" si="6"/>
        <v>0.38897475528078312</v>
      </c>
      <c r="P47" s="2">
        <f t="shared" si="7"/>
        <v>21.254778866609673</v>
      </c>
      <c r="Q47" s="7">
        <f t="shared" si="8"/>
        <v>0.52632362844758507</v>
      </c>
    </row>
    <row r="48" spans="1:17" x14ac:dyDescent="0.3">
      <c r="A48" s="1">
        <v>2064</v>
      </c>
      <c r="B48" s="1">
        <v>32607</v>
      </c>
      <c r="D48" s="1">
        <v>1396</v>
      </c>
      <c r="E48" s="1">
        <v>29502</v>
      </c>
      <c r="F48" s="1">
        <f t="shared" si="0"/>
        <v>668</v>
      </c>
      <c r="G48" s="1">
        <f t="shared" si="1"/>
        <v>3105</v>
      </c>
      <c r="H48" s="1">
        <f t="shared" si="2"/>
        <v>0.21513687600644121</v>
      </c>
      <c r="I48" s="2">
        <f t="shared" si="3"/>
        <v>12.141375878396687</v>
      </c>
      <c r="K48" s="1">
        <v>1738</v>
      </c>
      <c r="L48" s="1">
        <v>34160</v>
      </c>
      <c r="M48" s="1">
        <f t="shared" si="4"/>
        <v>326</v>
      </c>
      <c r="N48" s="1">
        <f t="shared" si="5"/>
        <v>1553</v>
      </c>
      <c r="O48" s="1">
        <f t="shared" si="6"/>
        <v>0.20991629104958145</v>
      </c>
      <c r="P48" s="2">
        <f t="shared" si="7"/>
        <v>11.855185451464463</v>
      </c>
      <c r="Q48">
        <f t="shared" si="8"/>
        <v>1.0241405272067567</v>
      </c>
    </row>
    <row r="49" spans="1:17" x14ac:dyDescent="0.3">
      <c r="A49" s="1">
        <v>1881</v>
      </c>
      <c r="B49" s="1">
        <v>38818</v>
      </c>
      <c r="D49" s="1">
        <v>1577</v>
      </c>
      <c r="E49" s="1">
        <v>36877</v>
      </c>
      <c r="F49" s="1">
        <f t="shared" si="0"/>
        <v>304</v>
      </c>
      <c r="G49" s="1">
        <f t="shared" si="1"/>
        <v>1941</v>
      </c>
      <c r="H49" s="1">
        <f t="shared" si="2"/>
        <v>0.1566202988150438</v>
      </c>
      <c r="I49" s="2">
        <f t="shared" si="3"/>
        <v>8.9013689014539157</v>
      </c>
      <c r="K49" s="1">
        <v>1391</v>
      </c>
      <c r="L49" s="1">
        <v>41536</v>
      </c>
      <c r="M49" s="1">
        <f t="shared" si="4"/>
        <v>490</v>
      </c>
      <c r="N49" s="1">
        <f t="shared" si="5"/>
        <v>2718</v>
      </c>
      <c r="O49" s="1">
        <f t="shared" si="6"/>
        <v>0.18027961736571008</v>
      </c>
      <c r="P49" s="2">
        <f t="shared" si="7"/>
        <v>10.219491073084153</v>
      </c>
      <c r="Q49">
        <f t="shared" si="8"/>
        <v>0.87101880492837103</v>
      </c>
    </row>
    <row r="50" spans="1:17" x14ac:dyDescent="0.3">
      <c r="A50" s="1">
        <v>1930</v>
      </c>
      <c r="B50" s="1">
        <v>44253</v>
      </c>
      <c r="D50" s="1">
        <v>1377</v>
      </c>
      <c r="E50" s="1">
        <v>41924</v>
      </c>
      <c r="F50" s="1">
        <f t="shared" si="0"/>
        <v>553</v>
      </c>
      <c r="G50" s="1">
        <f t="shared" si="1"/>
        <v>2329</v>
      </c>
      <c r="H50" s="1">
        <f t="shared" si="2"/>
        <v>0.23744096178617433</v>
      </c>
      <c r="I50" s="2">
        <f t="shared" si="3"/>
        <v>13.357016376074784</v>
      </c>
      <c r="K50" s="1">
        <v>1302</v>
      </c>
      <c r="L50" s="1">
        <v>45806</v>
      </c>
      <c r="M50" s="1">
        <f t="shared" si="4"/>
        <v>628</v>
      </c>
      <c r="N50" s="1">
        <f t="shared" si="5"/>
        <v>1553</v>
      </c>
      <c r="O50" s="1">
        <f t="shared" si="6"/>
        <v>0.40437862202189312</v>
      </c>
      <c r="P50" s="2">
        <f t="shared" si="7"/>
        <v>22.017355310464694</v>
      </c>
      <c r="Q50">
        <f t="shared" si="8"/>
        <v>0.60665852858932101</v>
      </c>
    </row>
    <row r="51" spans="1:17" x14ac:dyDescent="0.3">
      <c r="A51" s="1">
        <v>1852</v>
      </c>
      <c r="B51" s="1">
        <v>49688</v>
      </c>
      <c r="D51" s="1">
        <v>1302</v>
      </c>
      <c r="E51" s="1">
        <v>45806</v>
      </c>
      <c r="F51" s="1">
        <f t="shared" si="0"/>
        <v>550</v>
      </c>
      <c r="G51" s="1">
        <f t="shared" si="1"/>
        <v>3882</v>
      </c>
      <c r="H51" s="1">
        <f t="shared" si="2"/>
        <v>0.14167954662545079</v>
      </c>
      <c r="I51" s="2">
        <f t="shared" si="3"/>
        <v>8.0639696124807703</v>
      </c>
      <c r="K51" s="1">
        <v>1120</v>
      </c>
      <c r="L51" s="1">
        <v>52017</v>
      </c>
      <c r="M51" s="1">
        <f t="shared" si="4"/>
        <v>732</v>
      </c>
      <c r="N51" s="1">
        <f t="shared" si="5"/>
        <v>2329</v>
      </c>
      <c r="O51" s="1">
        <f t="shared" si="6"/>
        <v>0.31429798196650921</v>
      </c>
      <c r="P51" s="2">
        <f t="shared" si="7"/>
        <v>17.447828120709943</v>
      </c>
      <c r="Q51">
        <f t="shared" si="8"/>
        <v>0.46217612626004317</v>
      </c>
    </row>
    <row r="52" spans="1:17" x14ac:dyDescent="0.3">
      <c r="A52" s="1">
        <v>1753</v>
      </c>
      <c r="B52" s="1">
        <v>55122</v>
      </c>
      <c r="D52" s="1">
        <v>1120</v>
      </c>
      <c r="E52" s="1">
        <v>52017</v>
      </c>
      <c r="F52" s="1">
        <f t="shared" si="0"/>
        <v>633</v>
      </c>
      <c r="G52" s="1">
        <f t="shared" si="1"/>
        <v>3105</v>
      </c>
      <c r="H52" s="1">
        <f t="shared" si="2"/>
        <v>0.2038647342995169</v>
      </c>
      <c r="I52" s="2">
        <f t="shared" si="3"/>
        <v>11.522689682219552</v>
      </c>
      <c r="K52" s="1">
        <v>1118</v>
      </c>
      <c r="L52" s="1">
        <v>57063</v>
      </c>
      <c r="M52" s="1">
        <f t="shared" si="4"/>
        <v>635</v>
      </c>
      <c r="N52" s="1">
        <f t="shared" si="5"/>
        <v>1941</v>
      </c>
      <c r="O52" s="1">
        <f t="shared" si="6"/>
        <v>0.32715095311695003</v>
      </c>
      <c r="P52" s="2">
        <f t="shared" si="7"/>
        <v>18.11555788185942</v>
      </c>
      <c r="Q52">
        <f t="shared" si="8"/>
        <v>0.6360659581871424</v>
      </c>
    </row>
    <row r="53" spans="1:17" x14ac:dyDescent="0.3">
      <c r="A53" s="1">
        <v>1961</v>
      </c>
      <c r="B53" s="1">
        <v>60557</v>
      </c>
      <c r="D53" s="1">
        <v>1118</v>
      </c>
      <c r="E53" s="1">
        <v>57063</v>
      </c>
      <c r="F53" s="1">
        <f t="shared" si="0"/>
        <v>843</v>
      </c>
      <c r="G53" s="1">
        <f t="shared" si="1"/>
        <v>3494</v>
      </c>
      <c r="H53" s="1">
        <f t="shared" si="2"/>
        <v>0.24127074985689753</v>
      </c>
      <c r="I53" s="2">
        <f t="shared" si="3"/>
        <v>13.564556634478981</v>
      </c>
      <c r="K53" s="1">
        <v>1143</v>
      </c>
      <c r="L53" s="1">
        <v>62110</v>
      </c>
      <c r="M53" s="1">
        <f t="shared" si="4"/>
        <v>818</v>
      </c>
      <c r="N53" s="1">
        <f t="shared" si="5"/>
        <v>1553</v>
      </c>
      <c r="O53" s="1">
        <f t="shared" si="6"/>
        <v>0.52672247263361238</v>
      </c>
      <c r="P53" s="2">
        <f t="shared" si="7"/>
        <v>27.776784274765042</v>
      </c>
      <c r="Q53">
        <f t="shared" si="8"/>
        <v>0.48834150491647293</v>
      </c>
    </row>
    <row r="54" spans="1:17" x14ac:dyDescent="0.3">
      <c r="A54" s="1">
        <v>1754</v>
      </c>
      <c r="B54" s="1">
        <v>75308</v>
      </c>
      <c r="D54" s="1">
        <v>1292</v>
      </c>
      <c r="E54" s="1">
        <v>73755</v>
      </c>
      <c r="F54" s="1">
        <f t="shared" si="0"/>
        <v>462</v>
      </c>
      <c r="G54" s="1">
        <f t="shared" si="1"/>
        <v>1553</v>
      </c>
      <c r="H54" s="1">
        <f t="shared" si="2"/>
        <v>0.29748873148744365</v>
      </c>
      <c r="I54" s="2">
        <f t="shared" si="3"/>
        <v>16.567148499665645</v>
      </c>
      <c r="K54" s="1">
        <v>1243</v>
      </c>
      <c r="L54" s="1">
        <v>77249</v>
      </c>
      <c r="M54" s="1">
        <f t="shared" si="4"/>
        <v>511</v>
      </c>
      <c r="N54" s="1">
        <f t="shared" si="5"/>
        <v>1941</v>
      </c>
      <c r="O54" s="1">
        <f t="shared" si="6"/>
        <v>0.26326635754765587</v>
      </c>
      <c r="P54" s="2">
        <f t="shared" si="7"/>
        <v>14.74937465158628</v>
      </c>
      <c r="Q54">
        <f t="shared" si="8"/>
        <v>1.1232441300746174</v>
      </c>
    </row>
    <row r="55" spans="1:17" x14ac:dyDescent="0.3">
      <c r="A55" s="1">
        <v>1545</v>
      </c>
      <c r="B55" s="1">
        <v>79578</v>
      </c>
      <c r="D55" s="1">
        <v>1243</v>
      </c>
      <c r="E55" s="1">
        <v>77249</v>
      </c>
      <c r="F55" s="1">
        <f t="shared" si="0"/>
        <v>302</v>
      </c>
      <c r="G55" s="1">
        <f t="shared" si="1"/>
        <v>2329</v>
      </c>
      <c r="H55" s="1">
        <f t="shared" si="2"/>
        <v>0.12966938600257621</v>
      </c>
      <c r="I55" s="2">
        <f t="shared" si="3"/>
        <v>7.3882833678564115</v>
      </c>
      <c r="K55" s="1">
        <v>506</v>
      </c>
      <c r="L55" s="1">
        <v>81131</v>
      </c>
      <c r="M55" s="1">
        <f t="shared" si="4"/>
        <v>1039</v>
      </c>
      <c r="N55" s="1">
        <f t="shared" si="5"/>
        <v>1553</v>
      </c>
      <c r="O55" s="1">
        <f t="shared" si="6"/>
        <v>0.66902768834513848</v>
      </c>
      <c r="P55" s="2">
        <f t="shared" si="7"/>
        <v>33.783618515228653</v>
      </c>
      <c r="Q55">
        <f t="shared" si="8"/>
        <v>0.21869425752975491</v>
      </c>
    </row>
    <row r="56" spans="1:17" x14ac:dyDescent="0.3">
      <c r="A56" s="1">
        <v>2146</v>
      </c>
      <c r="B56" s="1">
        <v>89671</v>
      </c>
      <c r="D56" s="1">
        <v>1416</v>
      </c>
      <c r="E56" s="1">
        <v>86566</v>
      </c>
      <c r="F56" s="1">
        <f t="shared" si="0"/>
        <v>730</v>
      </c>
      <c r="G56" s="1">
        <f t="shared" si="1"/>
        <v>3105</v>
      </c>
      <c r="H56" s="1">
        <f t="shared" si="2"/>
        <v>0.23510466988727857</v>
      </c>
      <c r="I56" s="2">
        <f t="shared" si="3"/>
        <v>13.230234343174351</v>
      </c>
      <c r="K56" s="1">
        <v>1396</v>
      </c>
      <c r="L56" s="1">
        <v>92000</v>
      </c>
      <c r="M56" s="1">
        <f t="shared" si="4"/>
        <v>750</v>
      </c>
      <c r="N56" s="1">
        <f t="shared" si="5"/>
        <v>2329</v>
      </c>
      <c r="O56" s="1">
        <f t="shared" si="6"/>
        <v>0.32202662086732503</v>
      </c>
      <c r="P56" s="2">
        <f t="shared" si="7"/>
        <v>17.849940513731248</v>
      </c>
      <c r="Q56">
        <f t="shared" si="8"/>
        <v>0.74119206912744939</v>
      </c>
    </row>
    <row r="57" spans="1:17" x14ac:dyDescent="0.3">
      <c r="A57" s="3">
        <v>2650</v>
      </c>
      <c r="B57" s="3">
        <v>9398</v>
      </c>
      <c r="C57" s="4"/>
      <c r="D57" s="3">
        <v>2151</v>
      </c>
      <c r="E57" s="3">
        <v>5783</v>
      </c>
      <c r="F57" s="3">
        <f t="shared" si="0"/>
        <v>499</v>
      </c>
      <c r="G57" s="3">
        <f t="shared" si="1"/>
        <v>3615</v>
      </c>
      <c r="H57" s="3">
        <f t="shared" si="2"/>
        <v>0.1380359612724758</v>
      </c>
      <c r="I57" s="5">
        <f t="shared" si="3"/>
        <v>7.8592128402434849</v>
      </c>
      <c r="J57" s="4"/>
      <c r="K57" s="3">
        <v>1521</v>
      </c>
      <c r="L57" s="3">
        <v>13735</v>
      </c>
      <c r="M57" s="3">
        <f t="shared" si="4"/>
        <v>1129</v>
      </c>
      <c r="N57" s="3">
        <f t="shared" si="5"/>
        <v>4337</v>
      </c>
      <c r="O57" s="3">
        <f t="shared" si="6"/>
        <v>0.26031819229882408</v>
      </c>
      <c r="P57" s="5">
        <f t="shared" si="7"/>
        <v>14.591291565790057</v>
      </c>
      <c r="Q57" s="4">
        <f t="shared" si="8"/>
        <v>0.53862352107813161</v>
      </c>
    </row>
    <row r="58" spans="1:17" x14ac:dyDescent="0.3">
      <c r="A58" s="1">
        <v>2455</v>
      </c>
      <c r="B58" s="1">
        <v>18795</v>
      </c>
      <c r="D58" s="1">
        <v>1997</v>
      </c>
      <c r="E58" s="1">
        <v>16627</v>
      </c>
      <c r="F58" s="1">
        <f t="shared" si="0"/>
        <v>458</v>
      </c>
      <c r="G58" s="1">
        <f t="shared" si="1"/>
        <v>2168</v>
      </c>
      <c r="H58" s="1">
        <f t="shared" si="2"/>
        <v>0.21125461254612546</v>
      </c>
      <c r="I58" s="2">
        <f t="shared" si="3"/>
        <v>11.928609534301103</v>
      </c>
      <c r="K58" s="1">
        <v>1952</v>
      </c>
      <c r="L58" s="1">
        <v>20242</v>
      </c>
      <c r="M58" s="1">
        <f t="shared" si="4"/>
        <v>503</v>
      </c>
      <c r="N58" s="1">
        <f t="shared" si="5"/>
        <v>1447</v>
      </c>
      <c r="O58" s="1">
        <f t="shared" si="6"/>
        <v>0.34761575673807876</v>
      </c>
      <c r="P58" s="2">
        <f t="shared" si="7"/>
        <v>19.168256907947583</v>
      </c>
      <c r="Q58">
        <f t="shared" si="8"/>
        <v>0.62231060401508065</v>
      </c>
    </row>
    <row r="59" spans="1:17" x14ac:dyDescent="0.3">
      <c r="A59" s="1">
        <v>3244</v>
      </c>
      <c r="B59" s="1">
        <v>30001</v>
      </c>
      <c r="D59" s="1">
        <v>3046</v>
      </c>
      <c r="E59" s="1">
        <v>28917</v>
      </c>
      <c r="F59" s="1">
        <f t="shared" si="0"/>
        <v>198</v>
      </c>
      <c r="G59" s="1">
        <f t="shared" si="1"/>
        <v>1084</v>
      </c>
      <c r="H59" s="1">
        <f t="shared" si="2"/>
        <v>0.18265682656826568</v>
      </c>
      <c r="I59" s="2">
        <f t="shared" si="3"/>
        <v>10.351352773092501</v>
      </c>
      <c r="K59" s="1">
        <v>2663</v>
      </c>
      <c r="L59" s="1">
        <v>31809</v>
      </c>
      <c r="M59" s="1">
        <f t="shared" si="4"/>
        <v>581</v>
      </c>
      <c r="N59" s="1">
        <f t="shared" si="5"/>
        <v>1808</v>
      </c>
      <c r="O59" s="1">
        <f t="shared" si="6"/>
        <v>0.32134955752212391</v>
      </c>
      <c r="P59" s="2">
        <f t="shared" si="7"/>
        <v>17.814785587617145</v>
      </c>
      <c r="Q59">
        <f t="shared" si="8"/>
        <v>0.58105401954922253</v>
      </c>
    </row>
    <row r="60" spans="1:17" x14ac:dyDescent="0.3">
      <c r="A60" s="1">
        <v>3159</v>
      </c>
      <c r="B60" s="1">
        <v>37592</v>
      </c>
      <c r="D60" s="1">
        <v>2618</v>
      </c>
      <c r="E60" s="1">
        <v>33616</v>
      </c>
      <c r="F60" s="1">
        <f t="shared" si="0"/>
        <v>541</v>
      </c>
      <c r="G60" s="1">
        <f t="shared" si="1"/>
        <v>3976</v>
      </c>
      <c r="H60" s="1">
        <f t="shared" si="2"/>
        <v>0.13606639839034204</v>
      </c>
      <c r="I60" s="2">
        <f t="shared" si="3"/>
        <v>7.748445773461504</v>
      </c>
      <c r="K60" s="1">
        <v>2123</v>
      </c>
      <c r="L60" s="1">
        <v>41930</v>
      </c>
      <c r="M60" s="1">
        <f t="shared" si="4"/>
        <v>1036</v>
      </c>
      <c r="N60" s="1">
        <f t="shared" si="5"/>
        <v>4338</v>
      </c>
      <c r="O60" s="1">
        <f t="shared" si="6"/>
        <v>0.23881973259566622</v>
      </c>
      <c r="P60" s="2">
        <f t="shared" si="7"/>
        <v>13.431774856053938</v>
      </c>
      <c r="Q60">
        <f t="shared" si="8"/>
        <v>0.57687430414076235</v>
      </c>
    </row>
    <row r="61" spans="1:17" x14ac:dyDescent="0.3">
      <c r="A61" s="1">
        <v>2869</v>
      </c>
      <c r="B61" s="1">
        <v>46629</v>
      </c>
      <c r="D61" s="1">
        <v>2621</v>
      </c>
      <c r="E61" s="1">
        <v>44822</v>
      </c>
      <c r="F61" s="1">
        <f t="shared" si="0"/>
        <v>248</v>
      </c>
      <c r="G61" s="1">
        <f t="shared" si="1"/>
        <v>1807</v>
      </c>
      <c r="H61" s="1">
        <f t="shared" si="2"/>
        <v>0.13724405091311567</v>
      </c>
      <c r="I61" s="2">
        <f t="shared" si="3"/>
        <v>7.8146833225807191</v>
      </c>
      <c r="K61" s="1">
        <v>2619</v>
      </c>
      <c r="L61" s="1">
        <v>47352</v>
      </c>
      <c r="M61" s="1">
        <f t="shared" si="4"/>
        <v>250</v>
      </c>
      <c r="N61" s="1">
        <f t="shared" si="5"/>
        <v>723</v>
      </c>
      <c r="O61" s="1">
        <f t="shared" si="6"/>
        <v>0.34578146611341631</v>
      </c>
      <c r="P61" s="2">
        <f t="shared" si="7"/>
        <v>19.074436962391506</v>
      </c>
      <c r="Q61">
        <f t="shared" si="8"/>
        <v>0.40969404958000571</v>
      </c>
    </row>
    <row r="62" spans="1:17" x14ac:dyDescent="0.3">
      <c r="A62" s="1">
        <v>2819</v>
      </c>
      <c r="B62" s="1">
        <v>54220</v>
      </c>
      <c r="D62" s="1">
        <v>2578</v>
      </c>
      <c r="E62" s="1">
        <v>53136</v>
      </c>
      <c r="F62" s="1">
        <f t="shared" si="0"/>
        <v>241</v>
      </c>
      <c r="G62" s="1">
        <f t="shared" si="1"/>
        <v>1084</v>
      </c>
      <c r="H62" s="1">
        <f t="shared" si="2"/>
        <v>0.22232472324723246</v>
      </c>
      <c r="I62" s="2">
        <f t="shared" si="3"/>
        <v>12.53440409314554</v>
      </c>
      <c r="K62" s="1">
        <v>2523</v>
      </c>
      <c r="L62" s="1">
        <v>55304</v>
      </c>
      <c r="M62" s="1">
        <f t="shared" si="4"/>
        <v>296</v>
      </c>
      <c r="N62" s="1">
        <f t="shared" si="5"/>
        <v>1084</v>
      </c>
      <c r="O62" s="1">
        <f t="shared" si="6"/>
        <v>0.27306273062730629</v>
      </c>
      <c r="P62" s="2">
        <f t="shared" si="7"/>
        <v>15.27300686342352</v>
      </c>
      <c r="Q62">
        <f t="shared" si="8"/>
        <v>0.82069000591910235</v>
      </c>
    </row>
    <row r="63" spans="1:17" x14ac:dyDescent="0.3">
      <c r="A63" s="1">
        <v>2914</v>
      </c>
      <c r="B63" s="1">
        <v>56750</v>
      </c>
      <c r="D63" s="1">
        <v>2523</v>
      </c>
      <c r="E63" s="1">
        <v>55304</v>
      </c>
      <c r="F63" s="1">
        <f t="shared" si="0"/>
        <v>391</v>
      </c>
      <c r="G63" s="1">
        <f t="shared" si="1"/>
        <v>1446</v>
      </c>
      <c r="H63" s="1">
        <f t="shared" si="2"/>
        <v>0.27040110650069155</v>
      </c>
      <c r="I63" s="2">
        <f t="shared" si="3"/>
        <v>15.130993138008265</v>
      </c>
      <c r="K63" s="1">
        <v>2758</v>
      </c>
      <c r="L63" s="1">
        <v>57112</v>
      </c>
      <c r="M63" s="1">
        <f t="shared" si="4"/>
        <v>156</v>
      </c>
      <c r="N63" s="1">
        <f t="shared" si="5"/>
        <v>362</v>
      </c>
      <c r="O63" s="1">
        <f t="shared" si="6"/>
        <v>0.43093922651933703</v>
      </c>
      <c r="P63" s="2">
        <f t="shared" si="7"/>
        <v>23.313105576714115</v>
      </c>
      <c r="Q63">
        <f t="shared" si="8"/>
        <v>0.64903378437584014</v>
      </c>
    </row>
    <row r="64" spans="1:17" x14ac:dyDescent="0.3">
      <c r="A64" s="1">
        <v>2701</v>
      </c>
      <c r="B64" s="1">
        <v>59642</v>
      </c>
      <c r="D64" s="1">
        <v>2527</v>
      </c>
      <c r="E64" s="1">
        <v>58196</v>
      </c>
      <c r="F64" s="1">
        <f t="shared" si="0"/>
        <v>174</v>
      </c>
      <c r="G64" s="1">
        <f t="shared" si="1"/>
        <v>1446</v>
      </c>
      <c r="H64" s="1">
        <f t="shared" si="2"/>
        <v>0.12033195020746888</v>
      </c>
      <c r="I64" s="2">
        <f t="shared" si="3"/>
        <v>6.8615220309123792</v>
      </c>
      <c r="K64" s="1">
        <v>1858</v>
      </c>
      <c r="L64" s="1">
        <v>61449</v>
      </c>
      <c r="M64" s="1">
        <f t="shared" si="4"/>
        <v>843</v>
      </c>
      <c r="N64" s="1">
        <f t="shared" si="5"/>
        <v>1807</v>
      </c>
      <c r="O64" s="1">
        <f t="shared" si="6"/>
        <v>0.46651909241837297</v>
      </c>
      <c r="P64" s="2">
        <f t="shared" si="7"/>
        <v>25.009949797650091</v>
      </c>
      <c r="Q64">
        <f t="shared" si="8"/>
        <v>0.27435169148388616</v>
      </c>
    </row>
    <row r="65" spans="1:17" x14ac:dyDescent="0.3">
      <c r="A65" s="1">
        <v>1968</v>
      </c>
      <c r="B65" s="1">
        <v>70488</v>
      </c>
      <c r="D65" s="1">
        <v>1933</v>
      </c>
      <c r="E65" s="1">
        <v>69040</v>
      </c>
      <c r="F65" s="1">
        <f t="shared" si="0"/>
        <v>35</v>
      </c>
      <c r="G65" s="1">
        <f t="shared" si="1"/>
        <v>1448</v>
      </c>
      <c r="H65" s="1">
        <f t="shared" si="2"/>
        <v>2.4171270718232045E-2</v>
      </c>
      <c r="I65" s="2">
        <f t="shared" si="3"/>
        <v>1.3846421804068396</v>
      </c>
      <c r="K65" s="1">
        <v>1594</v>
      </c>
      <c r="L65" s="1">
        <v>71209</v>
      </c>
      <c r="M65" s="1">
        <f t="shared" si="4"/>
        <v>374</v>
      </c>
      <c r="N65" s="1">
        <f t="shared" si="5"/>
        <v>721</v>
      </c>
      <c r="O65" s="1">
        <f t="shared" si="6"/>
        <v>0.51872399445214978</v>
      </c>
      <c r="P65" s="2">
        <f t="shared" si="7"/>
        <v>27.416852979657424</v>
      </c>
      <c r="Q65">
        <f t="shared" si="8"/>
        <v>5.0503322953739709E-2</v>
      </c>
    </row>
    <row r="66" spans="1:17" x14ac:dyDescent="0.3">
      <c r="A66" s="1">
        <v>1721</v>
      </c>
      <c r="B66" s="1">
        <v>73378</v>
      </c>
      <c r="D66" s="1">
        <v>1538</v>
      </c>
      <c r="E66" s="1">
        <v>71932</v>
      </c>
      <c r="F66" s="1">
        <f t="shared" si="0"/>
        <v>183</v>
      </c>
      <c r="G66" s="1">
        <f t="shared" si="1"/>
        <v>1446</v>
      </c>
      <c r="H66" s="1">
        <f t="shared" si="2"/>
        <v>0.12655601659751037</v>
      </c>
      <c r="I66" s="2">
        <f t="shared" si="3"/>
        <v>7.2127810688929586</v>
      </c>
      <c r="K66" s="1">
        <v>1457</v>
      </c>
      <c r="L66" s="1">
        <v>74462</v>
      </c>
      <c r="M66" s="1">
        <f t="shared" si="4"/>
        <v>264</v>
      </c>
      <c r="N66" s="1">
        <f t="shared" si="5"/>
        <v>1084</v>
      </c>
      <c r="O66" s="1">
        <f t="shared" si="6"/>
        <v>0.24354243542435425</v>
      </c>
      <c r="P66" s="2">
        <f t="shared" si="7"/>
        <v>13.687490856324258</v>
      </c>
      <c r="Q66">
        <f t="shared" si="8"/>
        <v>0.52696152600973745</v>
      </c>
    </row>
    <row r="67" spans="1:17" x14ac:dyDescent="0.3">
      <c r="A67" s="1">
        <v>1849</v>
      </c>
      <c r="B67" s="1">
        <v>10585</v>
      </c>
      <c r="D67" s="1">
        <v>1538</v>
      </c>
      <c r="E67" s="1">
        <v>7841</v>
      </c>
      <c r="F67" s="1">
        <f t="shared" si="0"/>
        <v>311</v>
      </c>
      <c r="G67" s="1">
        <f t="shared" si="1"/>
        <v>2744</v>
      </c>
      <c r="H67" s="1">
        <f t="shared" si="2"/>
        <v>0.11333819241982507</v>
      </c>
      <c r="I67" s="2">
        <f t="shared" si="3"/>
        <v>6.4662069733276182</v>
      </c>
      <c r="K67" s="1">
        <v>1488</v>
      </c>
      <c r="L67" s="1">
        <v>12153</v>
      </c>
      <c r="M67" s="1">
        <f t="shared" si="4"/>
        <v>361</v>
      </c>
      <c r="N67" s="1">
        <f t="shared" si="5"/>
        <v>1568</v>
      </c>
      <c r="O67" s="1">
        <f t="shared" si="6"/>
        <v>0.23022959183673469</v>
      </c>
      <c r="P67" s="2">
        <f t="shared" si="7"/>
        <v>12.965257611803665</v>
      </c>
      <c r="Q67">
        <f t="shared" si="8"/>
        <v>0.49873339712438386</v>
      </c>
    </row>
    <row r="68" spans="1:17" x14ac:dyDescent="0.3">
      <c r="A68" s="1">
        <v>1971</v>
      </c>
      <c r="B68" s="1">
        <v>16074</v>
      </c>
      <c r="D68" s="1">
        <v>1444</v>
      </c>
      <c r="E68" s="1">
        <v>12545</v>
      </c>
      <c r="F68" s="1">
        <f t="shared" ref="F68:F131" si="9">(A68-D68)</f>
        <v>527</v>
      </c>
      <c r="G68" s="1">
        <f t="shared" ref="G68:G131" si="10">B68-E68</f>
        <v>3529</v>
      </c>
      <c r="H68" s="1">
        <f t="shared" ref="H68:H131" si="11">F68/G68</f>
        <v>0.14933408897704734</v>
      </c>
      <c r="I68" s="2">
        <f t="shared" ref="I68:I131" si="12">DEGREES(ATAN(H68))</f>
        <v>8.4934476507136285</v>
      </c>
      <c r="K68" s="1">
        <v>1825</v>
      </c>
      <c r="L68" s="1">
        <v>19602</v>
      </c>
      <c r="M68" s="1">
        <f t="shared" ref="M68:M131" si="13">A68-K68</f>
        <v>146</v>
      </c>
      <c r="N68" s="1">
        <f t="shared" ref="N68:N131" si="14">L68-B68</f>
        <v>3528</v>
      </c>
      <c r="O68" s="1">
        <f t="shared" ref="O68:O131" si="15">M68/N68</f>
        <v>4.1383219954648526E-2</v>
      </c>
      <c r="P68" s="2">
        <f t="shared" ref="P68:P131" si="16">DEGREES(ATAN(O68))</f>
        <v>2.3697316854665726</v>
      </c>
      <c r="Q68">
        <f t="shared" ref="Q68:Q131" si="17">I68/P68</f>
        <v>3.5841389566605586</v>
      </c>
    </row>
    <row r="69" spans="1:17" x14ac:dyDescent="0.3">
      <c r="A69" s="1">
        <v>1992</v>
      </c>
      <c r="B69" s="1">
        <v>20778</v>
      </c>
      <c r="D69" s="1">
        <v>1825</v>
      </c>
      <c r="E69" s="1">
        <v>19602</v>
      </c>
      <c r="F69" s="1">
        <f t="shared" si="9"/>
        <v>167</v>
      </c>
      <c r="G69" s="1">
        <f t="shared" si="10"/>
        <v>1176</v>
      </c>
      <c r="H69" s="1">
        <f t="shared" si="11"/>
        <v>0.14200680272108843</v>
      </c>
      <c r="I69" s="2">
        <f t="shared" si="12"/>
        <v>8.0823501975029099</v>
      </c>
      <c r="K69" s="1">
        <v>1901</v>
      </c>
      <c r="L69" s="1">
        <v>22346</v>
      </c>
      <c r="M69" s="1">
        <f t="shared" si="13"/>
        <v>91</v>
      </c>
      <c r="N69" s="1">
        <f t="shared" si="14"/>
        <v>1568</v>
      </c>
      <c r="O69" s="1">
        <f t="shared" si="15"/>
        <v>5.8035714285714288E-2</v>
      </c>
      <c r="P69" s="2">
        <f t="shared" si="16"/>
        <v>3.3214757633460423</v>
      </c>
      <c r="Q69">
        <f t="shared" si="17"/>
        <v>2.4333611844154421</v>
      </c>
    </row>
    <row r="70" spans="1:17" x14ac:dyDescent="0.3">
      <c r="A70" s="1">
        <v>2020</v>
      </c>
      <c r="B70" s="1">
        <v>64038</v>
      </c>
      <c r="D70" s="1">
        <v>1556</v>
      </c>
      <c r="E70" s="1">
        <v>61649</v>
      </c>
      <c r="F70" s="1">
        <f t="shared" si="9"/>
        <v>464</v>
      </c>
      <c r="G70" s="1">
        <f t="shared" si="10"/>
        <v>2389</v>
      </c>
      <c r="H70" s="1">
        <f t="shared" si="11"/>
        <v>0.19422352448723315</v>
      </c>
      <c r="I70" s="2">
        <f t="shared" si="12"/>
        <v>10.991343704410465</v>
      </c>
      <c r="K70" s="1">
        <v>1534</v>
      </c>
      <c r="L70" s="1">
        <v>66768</v>
      </c>
      <c r="M70" s="1">
        <f t="shared" si="13"/>
        <v>486</v>
      </c>
      <c r="N70" s="1">
        <f t="shared" si="14"/>
        <v>2730</v>
      </c>
      <c r="O70" s="1">
        <f t="shared" si="15"/>
        <v>0.17802197802197803</v>
      </c>
      <c r="P70" s="2">
        <f t="shared" si="16"/>
        <v>10.094160402550363</v>
      </c>
      <c r="Q70">
        <f t="shared" si="17"/>
        <v>1.0888814191652256</v>
      </c>
    </row>
    <row r="71" spans="1:17" x14ac:dyDescent="0.3">
      <c r="A71" s="1">
        <v>2533</v>
      </c>
      <c r="B71" s="1">
        <v>84951</v>
      </c>
      <c r="D71" s="1">
        <v>2223</v>
      </c>
      <c r="E71" s="1">
        <v>81754</v>
      </c>
      <c r="F71" s="1">
        <f t="shared" si="9"/>
        <v>310</v>
      </c>
      <c r="G71" s="1">
        <f t="shared" si="10"/>
        <v>3197</v>
      </c>
      <c r="H71" s="1">
        <f t="shared" si="11"/>
        <v>9.6965905536440411E-2</v>
      </c>
      <c r="I71" s="2">
        <f t="shared" si="12"/>
        <v>5.538422323229276</v>
      </c>
      <c r="K71" s="1">
        <v>2295</v>
      </c>
      <c r="L71" s="1">
        <v>86150</v>
      </c>
      <c r="M71" s="1">
        <f t="shared" si="13"/>
        <v>238</v>
      </c>
      <c r="N71" s="1">
        <f t="shared" si="14"/>
        <v>1199</v>
      </c>
      <c r="O71" s="1">
        <f t="shared" si="15"/>
        <v>0.19849874895746455</v>
      </c>
      <c r="P71" s="2">
        <f t="shared" si="16"/>
        <v>11.227201580831426</v>
      </c>
      <c r="Q71">
        <f t="shared" si="17"/>
        <v>0.49330389976120209</v>
      </c>
    </row>
    <row r="72" spans="1:17" x14ac:dyDescent="0.3">
      <c r="A72" s="1">
        <v>2560</v>
      </c>
      <c r="B72" s="1">
        <v>101738</v>
      </c>
      <c r="D72" s="1">
        <v>2106</v>
      </c>
      <c r="E72" s="1">
        <v>98141</v>
      </c>
      <c r="F72" s="1">
        <f t="shared" si="9"/>
        <v>454</v>
      </c>
      <c r="G72" s="1">
        <f t="shared" si="10"/>
        <v>3597</v>
      </c>
      <c r="H72" s="1">
        <f t="shared" si="11"/>
        <v>0.12621629135390602</v>
      </c>
      <c r="I72" s="2">
        <f t="shared" si="12"/>
        <v>7.1936222785821373</v>
      </c>
      <c r="K72" s="1">
        <v>2076</v>
      </c>
      <c r="L72" s="1">
        <v>104137</v>
      </c>
      <c r="M72" s="1">
        <f t="shared" si="13"/>
        <v>484</v>
      </c>
      <c r="N72" s="1">
        <f t="shared" si="14"/>
        <v>2399</v>
      </c>
      <c r="O72" s="1">
        <f t="shared" si="15"/>
        <v>0.20175072947061276</v>
      </c>
      <c r="P72" s="2">
        <f t="shared" si="16"/>
        <v>11.406351276326674</v>
      </c>
      <c r="Q72">
        <f t="shared" si="17"/>
        <v>0.6306681342974374</v>
      </c>
    </row>
    <row r="73" spans="1:17" x14ac:dyDescent="0.3">
      <c r="A73" s="1">
        <v>2206</v>
      </c>
      <c r="B73" s="1">
        <v>106535</v>
      </c>
      <c r="D73" s="1">
        <v>2076</v>
      </c>
      <c r="E73" s="1">
        <v>104137</v>
      </c>
      <c r="F73" s="1">
        <f t="shared" si="9"/>
        <v>130</v>
      </c>
      <c r="G73" s="1">
        <f t="shared" si="10"/>
        <v>2398</v>
      </c>
      <c r="H73" s="1">
        <f t="shared" si="11"/>
        <v>5.4211843202668891E-2</v>
      </c>
      <c r="I73" s="2">
        <f t="shared" si="12"/>
        <v>3.1030722960618862</v>
      </c>
      <c r="K73" s="1">
        <v>2041</v>
      </c>
      <c r="L73" s="1">
        <v>107334</v>
      </c>
      <c r="M73" s="1">
        <f t="shared" si="13"/>
        <v>165</v>
      </c>
      <c r="N73" s="1">
        <f t="shared" si="14"/>
        <v>799</v>
      </c>
      <c r="O73" s="1">
        <f t="shared" si="15"/>
        <v>0.20650813516896119</v>
      </c>
      <c r="P73" s="2">
        <f t="shared" si="16"/>
        <v>11.668026433343783</v>
      </c>
      <c r="Q73">
        <f t="shared" si="17"/>
        <v>0.26594662891697085</v>
      </c>
    </row>
    <row r="74" spans="1:17" x14ac:dyDescent="0.3">
      <c r="A74" s="1">
        <v>1581</v>
      </c>
      <c r="B74" s="1">
        <v>115728</v>
      </c>
      <c r="D74" s="1">
        <v>1489</v>
      </c>
      <c r="E74" s="1">
        <v>114129</v>
      </c>
      <c r="F74" s="1">
        <f t="shared" si="9"/>
        <v>92</v>
      </c>
      <c r="G74" s="1">
        <f t="shared" si="10"/>
        <v>1599</v>
      </c>
      <c r="H74" s="1">
        <f t="shared" si="11"/>
        <v>5.7535959974984369E-2</v>
      </c>
      <c r="I74" s="2">
        <f t="shared" si="12"/>
        <v>3.292937247032325</v>
      </c>
      <c r="K74" s="1">
        <v>1434</v>
      </c>
      <c r="L74" s="1">
        <v>116927</v>
      </c>
      <c r="M74" s="1">
        <f t="shared" si="13"/>
        <v>147</v>
      </c>
      <c r="N74" s="1">
        <f t="shared" si="14"/>
        <v>1199</v>
      </c>
      <c r="O74" s="1">
        <f t="shared" si="15"/>
        <v>0.12260216847372811</v>
      </c>
      <c r="P74" s="2">
        <f t="shared" si="16"/>
        <v>6.9897046660940036</v>
      </c>
      <c r="Q74">
        <f t="shared" si="17"/>
        <v>0.47111250107688579</v>
      </c>
    </row>
    <row r="75" spans="1:17" x14ac:dyDescent="0.3">
      <c r="A75" s="3">
        <v>1987</v>
      </c>
      <c r="B75" s="3">
        <v>7670</v>
      </c>
      <c r="C75" s="4"/>
      <c r="D75" s="3">
        <v>1632</v>
      </c>
      <c r="E75" s="3">
        <v>4748</v>
      </c>
      <c r="F75" s="3">
        <f t="shared" si="9"/>
        <v>355</v>
      </c>
      <c r="G75" s="3">
        <f t="shared" si="10"/>
        <v>2922</v>
      </c>
      <c r="H75" s="3">
        <f t="shared" si="11"/>
        <v>0.121492128678987</v>
      </c>
      <c r="I75" s="5">
        <f t="shared" si="12"/>
        <v>6.9270375354708129</v>
      </c>
      <c r="J75" s="4"/>
      <c r="K75" s="3">
        <v>1888</v>
      </c>
      <c r="L75" s="3">
        <v>9131</v>
      </c>
      <c r="M75" s="3">
        <f t="shared" si="13"/>
        <v>99</v>
      </c>
      <c r="N75" s="3">
        <f t="shared" si="14"/>
        <v>1461</v>
      </c>
      <c r="O75" s="3">
        <f t="shared" si="15"/>
        <v>6.7761806981519512E-2</v>
      </c>
      <c r="P75" s="5">
        <f t="shared" si="16"/>
        <v>3.8765395459971894</v>
      </c>
      <c r="Q75" s="4">
        <f t="shared" si="17"/>
        <v>1.7869126454864843</v>
      </c>
    </row>
    <row r="76" spans="1:17" x14ac:dyDescent="0.3">
      <c r="A76" s="1">
        <v>2734</v>
      </c>
      <c r="B76" s="1">
        <v>26298</v>
      </c>
      <c r="D76" s="1">
        <v>2214</v>
      </c>
      <c r="E76" s="1">
        <v>21915</v>
      </c>
      <c r="F76" s="1">
        <f t="shared" si="9"/>
        <v>520</v>
      </c>
      <c r="G76" s="1">
        <f t="shared" si="10"/>
        <v>4383</v>
      </c>
      <c r="H76" s="1">
        <f t="shared" si="11"/>
        <v>0.11864020077572439</v>
      </c>
      <c r="I76" s="2">
        <f t="shared" si="12"/>
        <v>6.7659563340121114</v>
      </c>
      <c r="K76" s="1">
        <v>2411</v>
      </c>
      <c r="L76" s="1">
        <v>27393</v>
      </c>
      <c r="M76" s="1">
        <f t="shared" si="13"/>
        <v>323</v>
      </c>
      <c r="N76" s="1">
        <f t="shared" si="14"/>
        <v>1095</v>
      </c>
      <c r="O76" s="1">
        <f t="shared" si="15"/>
        <v>0.29497716894977166</v>
      </c>
      <c r="P76" s="2">
        <f t="shared" si="16"/>
        <v>16.434855819999264</v>
      </c>
      <c r="Q76">
        <f t="shared" si="17"/>
        <v>0.4116833398549653</v>
      </c>
    </row>
    <row r="77" spans="1:17" x14ac:dyDescent="0.3">
      <c r="A77" s="1">
        <v>2919</v>
      </c>
      <c r="B77" s="1">
        <v>35064</v>
      </c>
      <c r="D77" s="1">
        <v>2778</v>
      </c>
      <c r="E77" s="1">
        <v>31776</v>
      </c>
      <c r="F77" s="1">
        <f t="shared" si="9"/>
        <v>141</v>
      </c>
      <c r="G77" s="1">
        <f t="shared" si="10"/>
        <v>3288</v>
      </c>
      <c r="H77" s="1">
        <f t="shared" si="11"/>
        <v>4.288321167883212E-2</v>
      </c>
      <c r="I77" s="2">
        <f t="shared" si="12"/>
        <v>2.4555225679450681</v>
      </c>
      <c r="K77" s="1">
        <v>2681</v>
      </c>
      <c r="L77" s="1">
        <v>37986</v>
      </c>
      <c r="M77" s="1">
        <f t="shared" si="13"/>
        <v>238</v>
      </c>
      <c r="N77" s="1">
        <f t="shared" si="14"/>
        <v>2922</v>
      </c>
      <c r="O77" s="1">
        <f t="shared" si="15"/>
        <v>8.1451060917180018E-2</v>
      </c>
      <c r="P77" s="2">
        <f t="shared" si="16"/>
        <v>4.6565226311269088</v>
      </c>
      <c r="Q77">
        <f t="shared" si="17"/>
        <v>0.52732967548164056</v>
      </c>
    </row>
    <row r="78" spans="1:17" x14ac:dyDescent="0.3">
      <c r="A78" s="1">
        <v>3300</v>
      </c>
      <c r="B78" s="1">
        <v>41273</v>
      </c>
      <c r="D78" s="1">
        <v>2681</v>
      </c>
      <c r="E78" s="1">
        <v>37986</v>
      </c>
      <c r="F78" s="1">
        <f t="shared" si="9"/>
        <v>619</v>
      </c>
      <c r="G78" s="1">
        <f t="shared" si="10"/>
        <v>3287</v>
      </c>
      <c r="H78" s="1">
        <f t="shared" si="11"/>
        <v>0.18831761484636447</v>
      </c>
      <c r="I78" s="2">
        <f t="shared" si="12"/>
        <v>10.664903453474786</v>
      </c>
      <c r="K78" s="1">
        <v>2819</v>
      </c>
      <c r="L78" s="1">
        <v>43099</v>
      </c>
      <c r="M78" s="1">
        <f t="shared" si="13"/>
        <v>481</v>
      </c>
      <c r="N78" s="1">
        <f t="shared" si="14"/>
        <v>1826</v>
      </c>
      <c r="O78" s="1">
        <f t="shared" si="15"/>
        <v>0.26341730558598031</v>
      </c>
      <c r="P78" s="2">
        <f t="shared" si="16"/>
        <v>14.757462456554885</v>
      </c>
      <c r="Q78">
        <f t="shared" si="17"/>
        <v>0.72267867764337157</v>
      </c>
    </row>
    <row r="79" spans="1:17" x14ac:dyDescent="0.3">
      <c r="A79" s="1">
        <v>3281</v>
      </c>
      <c r="B79" s="1">
        <v>67632</v>
      </c>
      <c r="D79" s="1">
        <v>2753</v>
      </c>
      <c r="E79" s="1">
        <v>34436</v>
      </c>
      <c r="F79" s="1">
        <f t="shared" si="9"/>
        <v>528</v>
      </c>
      <c r="G79" s="1">
        <f t="shared" si="10"/>
        <v>33196</v>
      </c>
      <c r="H79" s="1">
        <f t="shared" si="11"/>
        <v>1.5905530786841787E-2</v>
      </c>
      <c r="I79" s="2">
        <f t="shared" si="12"/>
        <v>0.91124294630963798</v>
      </c>
      <c r="K79" s="1">
        <v>2451</v>
      </c>
      <c r="L79" s="1">
        <v>69870</v>
      </c>
      <c r="M79" s="1">
        <f t="shared" si="13"/>
        <v>830</v>
      </c>
      <c r="N79" s="1">
        <f t="shared" si="14"/>
        <v>2238</v>
      </c>
      <c r="O79" s="1">
        <f t="shared" si="15"/>
        <v>0.3708668453976765</v>
      </c>
      <c r="P79" s="2">
        <f t="shared" si="16"/>
        <v>20.34814735371814</v>
      </c>
      <c r="Q79">
        <f t="shared" si="17"/>
        <v>4.4782600129103643E-2</v>
      </c>
    </row>
    <row r="80" spans="1:17" x14ac:dyDescent="0.3">
      <c r="A80" s="1">
        <v>2924</v>
      </c>
      <c r="B80" s="1">
        <v>76581</v>
      </c>
      <c r="D80" s="1">
        <v>2523</v>
      </c>
      <c r="E80" s="1">
        <v>75303</v>
      </c>
      <c r="F80" s="1">
        <f t="shared" si="9"/>
        <v>401</v>
      </c>
      <c r="G80" s="1">
        <f t="shared" si="10"/>
        <v>1278</v>
      </c>
      <c r="H80" s="1">
        <f t="shared" si="11"/>
        <v>0.31377151799687009</v>
      </c>
      <c r="I80" s="2">
        <f t="shared" si="12"/>
        <v>17.420371654543796</v>
      </c>
      <c r="K80" s="1">
        <v>2792</v>
      </c>
      <c r="L80" s="1">
        <v>77859</v>
      </c>
      <c r="M80" s="1">
        <f t="shared" si="13"/>
        <v>132</v>
      </c>
      <c r="N80" s="1">
        <f t="shared" si="14"/>
        <v>1278</v>
      </c>
      <c r="O80" s="1">
        <f t="shared" si="15"/>
        <v>0.10328638497652583</v>
      </c>
      <c r="P80" s="2">
        <f t="shared" si="16"/>
        <v>5.8969635102108242</v>
      </c>
      <c r="Q80">
        <f t="shared" si="17"/>
        <v>2.9541257334185191</v>
      </c>
    </row>
    <row r="81" spans="1:17" x14ac:dyDescent="0.3">
      <c r="A81" s="1">
        <v>2975</v>
      </c>
      <c r="B81" s="1">
        <v>84890</v>
      </c>
      <c r="D81" s="1">
        <v>2709</v>
      </c>
      <c r="E81" s="1">
        <v>79457</v>
      </c>
      <c r="F81" s="1">
        <f t="shared" si="9"/>
        <v>266</v>
      </c>
      <c r="G81" s="1">
        <f t="shared" si="10"/>
        <v>5433</v>
      </c>
      <c r="H81" s="1">
        <f t="shared" si="11"/>
        <v>4.8960058899318974E-2</v>
      </c>
      <c r="I81" s="2">
        <f t="shared" si="12"/>
        <v>2.8029665176088718</v>
      </c>
      <c r="K81" s="1">
        <v>2126</v>
      </c>
      <c r="L81" s="1">
        <v>87767</v>
      </c>
      <c r="M81" s="1">
        <f t="shared" si="13"/>
        <v>849</v>
      </c>
      <c r="N81" s="1">
        <f t="shared" si="14"/>
        <v>2877</v>
      </c>
      <c r="O81" s="1">
        <f t="shared" si="15"/>
        <v>0.29509906152241916</v>
      </c>
      <c r="P81" s="2">
        <f t="shared" si="16"/>
        <v>16.441280497880516</v>
      </c>
      <c r="Q81">
        <f t="shared" si="17"/>
        <v>0.17048346799814096</v>
      </c>
    </row>
    <row r="82" spans="1:17" x14ac:dyDescent="0.3">
      <c r="A82" s="1">
        <v>2569</v>
      </c>
      <c r="B82" s="1">
        <v>90643</v>
      </c>
      <c r="D82" s="1">
        <v>2110</v>
      </c>
      <c r="E82" s="1">
        <v>88406</v>
      </c>
      <c r="F82" s="1">
        <f t="shared" si="9"/>
        <v>459</v>
      </c>
      <c r="G82" s="1">
        <f t="shared" si="10"/>
        <v>2237</v>
      </c>
      <c r="H82" s="1">
        <f t="shared" si="11"/>
        <v>0.20518551631649531</v>
      </c>
      <c r="I82" s="2">
        <f t="shared" si="12"/>
        <v>11.595326473342014</v>
      </c>
      <c r="K82" s="1">
        <v>2288</v>
      </c>
      <c r="L82" s="1">
        <v>92561</v>
      </c>
      <c r="M82" s="1">
        <f t="shared" si="13"/>
        <v>281</v>
      </c>
      <c r="N82" s="1">
        <f t="shared" si="14"/>
        <v>1918</v>
      </c>
      <c r="O82" s="1">
        <f t="shared" si="15"/>
        <v>0.1465067778936392</v>
      </c>
      <c r="P82" s="2">
        <f t="shared" si="16"/>
        <v>8.3349233388323771</v>
      </c>
      <c r="Q82">
        <f t="shared" si="17"/>
        <v>1.3911737399334474</v>
      </c>
    </row>
    <row r="83" spans="1:17" x14ac:dyDescent="0.3">
      <c r="A83" s="1">
        <v>2308</v>
      </c>
      <c r="B83" s="1">
        <v>96076</v>
      </c>
      <c r="D83" s="1">
        <v>2090</v>
      </c>
      <c r="E83" s="1">
        <v>93839</v>
      </c>
      <c r="F83" s="1">
        <f t="shared" si="9"/>
        <v>218</v>
      </c>
      <c r="G83" s="1">
        <f t="shared" si="10"/>
        <v>2237</v>
      </c>
      <c r="H83" s="1">
        <f t="shared" si="11"/>
        <v>9.7451944568618692E-2</v>
      </c>
      <c r="I83" s="2">
        <f t="shared" si="12"/>
        <v>5.5660096196988942</v>
      </c>
      <c r="K83" s="1">
        <v>2026</v>
      </c>
      <c r="L83" s="1">
        <v>97674</v>
      </c>
      <c r="M83" s="1">
        <f t="shared" si="13"/>
        <v>282</v>
      </c>
      <c r="N83" s="1">
        <f t="shared" si="14"/>
        <v>1598</v>
      </c>
      <c r="O83" s="1">
        <f t="shared" si="15"/>
        <v>0.17647058823529413</v>
      </c>
      <c r="P83" s="2">
        <f t="shared" si="16"/>
        <v>10.007979801441339</v>
      </c>
      <c r="Q83">
        <f t="shared" si="17"/>
        <v>0.55615715959951106</v>
      </c>
    </row>
    <row r="84" spans="1:17" x14ac:dyDescent="0.3">
      <c r="A84" s="3">
        <v>1199</v>
      </c>
      <c r="B84" s="3">
        <v>5296</v>
      </c>
      <c r="C84" s="4"/>
      <c r="D84" s="3">
        <v>911</v>
      </c>
      <c r="E84" s="3">
        <v>3782</v>
      </c>
      <c r="F84" s="3">
        <f t="shared" si="9"/>
        <v>288</v>
      </c>
      <c r="G84" s="3">
        <f t="shared" si="10"/>
        <v>1514</v>
      </c>
      <c r="H84" s="3">
        <f t="shared" si="11"/>
        <v>0.19022457067371201</v>
      </c>
      <c r="I84" s="5">
        <f t="shared" si="12"/>
        <v>10.770385215735493</v>
      </c>
      <c r="J84" s="4"/>
      <c r="K84" s="3">
        <v>966</v>
      </c>
      <c r="L84" s="3">
        <v>6431</v>
      </c>
      <c r="M84" s="3">
        <f t="shared" si="13"/>
        <v>233</v>
      </c>
      <c r="N84" s="3">
        <f t="shared" si="14"/>
        <v>1135</v>
      </c>
      <c r="O84" s="3">
        <f t="shared" si="15"/>
        <v>0.2052863436123348</v>
      </c>
      <c r="P84" s="5">
        <f t="shared" si="16"/>
        <v>11.600869950678094</v>
      </c>
      <c r="Q84">
        <f t="shared" si="17"/>
        <v>0.92841185717334429</v>
      </c>
    </row>
    <row r="85" spans="1:17" x14ac:dyDescent="0.3">
      <c r="A85" s="1">
        <v>1874</v>
      </c>
      <c r="B85" s="1">
        <v>14753</v>
      </c>
      <c r="D85" s="1">
        <v>1689</v>
      </c>
      <c r="E85" s="1">
        <v>13618</v>
      </c>
      <c r="F85" s="1">
        <f t="shared" si="9"/>
        <v>185</v>
      </c>
      <c r="G85" s="1">
        <f t="shared" si="10"/>
        <v>1135</v>
      </c>
      <c r="H85" s="1">
        <f t="shared" si="11"/>
        <v>0.16299559471365638</v>
      </c>
      <c r="I85" s="2">
        <f t="shared" si="12"/>
        <v>9.2575490287473201</v>
      </c>
      <c r="K85" s="1">
        <v>1699</v>
      </c>
      <c r="L85" s="1">
        <v>15888</v>
      </c>
      <c r="M85" s="1">
        <f t="shared" si="13"/>
        <v>175</v>
      </c>
      <c r="N85" s="1">
        <f t="shared" si="14"/>
        <v>1135</v>
      </c>
      <c r="O85" s="1">
        <f t="shared" si="15"/>
        <v>0.15418502202643172</v>
      </c>
      <c r="P85" s="2">
        <f t="shared" si="16"/>
        <v>8.7651280942071175</v>
      </c>
      <c r="Q85">
        <f t="shared" si="17"/>
        <v>1.0561795480051961</v>
      </c>
    </row>
    <row r="86" spans="1:17" x14ac:dyDescent="0.3">
      <c r="A86" s="1">
        <v>2619</v>
      </c>
      <c r="B86" s="1">
        <v>36279</v>
      </c>
      <c r="D86" s="1">
        <v>2405</v>
      </c>
      <c r="E86" s="1">
        <v>32957</v>
      </c>
      <c r="F86" s="1">
        <f t="shared" si="9"/>
        <v>214</v>
      </c>
      <c r="G86" s="1">
        <f t="shared" si="10"/>
        <v>3322</v>
      </c>
      <c r="H86" s="1">
        <f t="shared" si="11"/>
        <v>6.4419024683925352E-2</v>
      </c>
      <c r="I86" s="2">
        <f t="shared" si="12"/>
        <v>3.6858453444113879</v>
      </c>
      <c r="K86" s="1">
        <v>2183</v>
      </c>
      <c r="L86" s="1">
        <v>40205</v>
      </c>
      <c r="M86" s="1">
        <f t="shared" si="13"/>
        <v>436</v>
      </c>
      <c r="N86" s="1">
        <f t="shared" si="14"/>
        <v>3926</v>
      </c>
      <c r="O86" s="1">
        <f t="shared" si="15"/>
        <v>0.11105450840550178</v>
      </c>
      <c r="P86" s="2">
        <f t="shared" si="16"/>
        <v>6.3369881798236154</v>
      </c>
      <c r="Q86">
        <f t="shared" si="17"/>
        <v>0.58163992733121683</v>
      </c>
    </row>
    <row r="87" spans="1:17" x14ac:dyDescent="0.3">
      <c r="A87" s="1">
        <v>2387</v>
      </c>
      <c r="B87" s="1">
        <v>49060</v>
      </c>
      <c r="D87" s="1">
        <v>2245</v>
      </c>
      <c r="E87" s="1">
        <v>47718</v>
      </c>
      <c r="F87" s="1">
        <f t="shared" si="9"/>
        <v>142</v>
      </c>
      <c r="G87" s="1">
        <f t="shared" si="10"/>
        <v>1342</v>
      </c>
      <c r="H87" s="1">
        <f t="shared" si="11"/>
        <v>0.10581222056631892</v>
      </c>
      <c r="I87" s="2">
        <f t="shared" si="12"/>
        <v>6.0401183938587382</v>
      </c>
      <c r="K87" s="1">
        <v>1914</v>
      </c>
      <c r="L87" s="1">
        <v>50737</v>
      </c>
      <c r="M87" s="1">
        <f t="shared" si="13"/>
        <v>473</v>
      </c>
      <c r="N87" s="1">
        <f t="shared" si="14"/>
        <v>1677</v>
      </c>
      <c r="O87" s="1">
        <f t="shared" si="15"/>
        <v>0.28205128205128205</v>
      </c>
      <c r="P87" s="2">
        <f t="shared" si="16"/>
        <v>15.751173663453027</v>
      </c>
      <c r="Q87">
        <f t="shared" si="17"/>
        <v>0.38347100494951958</v>
      </c>
    </row>
    <row r="88" spans="1:17" x14ac:dyDescent="0.3">
      <c r="A88" s="3">
        <v>2127</v>
      </c>
      <c r="B88" s="3">
        <v>14875</v>
      </c>
      <c r="C88" s="4"/>
      <c r="D88" s="3">
        <v>1987</v>
      </c>
      <c r="E88" s="3">
        <v>14752</v>
      </c>
      <c r="F88" s="3">
        <f t="shared" si="9"/>
        <v>140</v>
      </c>
      <c r="G88" s="3">
        <f t="shared" si="10"/>
        <v>123</v>
      </c>
      <c r="H88" s="3">
        <f t="shared" si="11"/>
        <v>1.1382113821138211</v>
      </c>
      <c r="I88" s="5">
        <f t="shared" si="12"/>
        <v>48.698384371601897</v>
      </c>
      <c r="J88" s="4"/>
      <c r="K88" s="3">
        <v>1995</v>
      </c>
      <c r="L88" s="3">
        <v>15483</v>
      </c>
      <c r="M88" s="3">
        <f t="shared" si="13"/>
        <v>132</v>
      </c>
      <c r="N88" s="3">
        <f t="shared" si="14"/>
        <v>608</v>
      </c>
      <c r="O88" s="3">
        <f t="shared" si="15"/>
        <v>0.21710526315789475</v>
      </c>
      <c r="P88" s="5">
        <f t="shared" si="16"/>
        <v>12.249123419755794</v>
      </c>
      <c r="Q88">
        <f t="shared" si="17"/>
        <v>3.9756628048223863</v>
      </c>
    </row>
    <row r="89" spans="1:17" x14ac:dyDescent="0.3">
      <c r="A89" s="1">
        <v>2401</v>
      </c>
      <c r="B89" s="1">
        <v>17608</v>
      </c>
      <c r="D89" s="1">
        <v>1958</v>
      </c>
      <c r="E89" s="1">
        <v>15786</v>
      </c>
      <c r="F89" s="1">
        <f t="shared" si="9"/>
        <v>443</v>
      </c>
      <c r="G89" s="1">
        <f t="shared" si="10"/>
        <v>1822</v>
      </c>
      <c r="H89" s="1">
        <f t="shared" si="11"/>
        <v>0.24313940724478594</v>
      </c>
      <c r="I89" s="2">
        <f t="shared" si="12"/>
        <v>13.665689977599866</v>
      </c>
      <c r="K89" s="1">
        <v>2022</v>
      </c>
      <c r="L89" s="1">
        <v>18822</v>
      </c>
      <c r="M89" s="1">
        <f t="shared" si="13"/>
        <v>379</v>
      </c>
      <c r="N89" s="1">
        <f t="shared" si="14"/>
        <v>1214</v>
      </c>
      <c r="O89" s="1">
        <f t="shared" si="15"/>
        <v>0.31219110378912684</v>
      </c>
      <c r="P89" s="2">
        <f t="shared" si="16"/>
        <v>17.337899364531786</v>
      </c>
      <c r="Q89">
        <f t="shared" si="17"/>
        <v>0.7881975601701684</v>
      </c>
    </row>
    <row r="90" spans="1:17" x14ac:dyDescent="0.3">
      <c r="A90" s="1">
        <v>2379</v>
      </c>
      <c r="B90" s="1">
        <v>21554</v>
      </c>
      <c r="D90" s="1">
        <v>2022</v>
      </c>
      <c r="E90" s="1">
        <v>18822</v>
      </c>
      <c r="F90" s="1">
        <f t="shared" si="9"/>
        <v>357</v>
      </c>
      <c r="G90" s="1">
        <f t="shared" si="10"/>
        <v>2732</v>
      </c>
      <c r="H90" s="1">
        <f t="shared" si="11"/>
        <v>0.13067349926793559</v>
      </c>
      <c r="I90" s="2">
        <f t="shared" si="12"/>
        <v>7.4448562112231071</v>
      </c>
      <c r="K90" s="1">
        <v>2059</v>
      </c>
      <c r="L90" s="1">
        <v>22769</v>
      </c>
      <c r="M90" s="1">
        <f t="shared" si="13"/>
        <v>320</v>
      </c>
      <c r="N90" s="1">
        <f t="shared" si="14"/>
        <v>1215</v>
      </c>
      <c r="O90" s="1">
        <f t="shared" si="15"/>
        <v>0.26337448559670784</v>
      </c>
      <c r="P90" s="2">
        <f t="shared" si="16"/>
        <v>14.755168220049736</v>
      </c>
      <c r="Q90">
        <f t="shared" si="17"/>
        <v>0.50455922292412958</v>
      </c>
    </row>
    <row r="91" spans="1:17" x14ac:dyDescent="0.3">
      <c r="A91" s="1">
        <v>2527</v>
      </c>
      <c r="B91" s="1">
        <v>33091</v>
      </c>
      <c r="D91" s="1">
        <v>2295</v>
      </c>
      <c r="E91" s="1">
        <v>30359</v>
      </c>
      <c r="F91" s="1">
        <f t="shared" si="9"/>
        <v>232</v>
      </c>
      <c r="G91" s="1">
        <f t="shared" si="10"/>
        <v>2732</v>
      </c>
      <c r="H91" s="1">
        <f t="shared" si="11"/>
        <v>8.4919472913616401E-2</v>
      </c>
      <c r="I91" s="2">
        <f t="shared" si="12"/>
        <v>4.8538821217634815</v>
      </c>
      <c r="K91" s="1">
        <v>2160</v>
      </c>
      <c r="L91" s="1">
        <v>34305</v>
      </c>
      <c r="M91" s="1">
        <f t="shared" si="13"/>
        <v>367</v>
      </c>
      <c r="N91" s="1">
        <f t="shared" si="14"/>
        <v>1214</v>
      </c>
      <c r="O91" s="1">
        <f t="shared" si="15"/>
        <v>0.30230642504118616</v>
      </c>
      <c r="P91" s="2">
        <f t="shared" si="16"/>
        <v>16.820404224558807</v>
      </c>
      <c r="Q91">
        <f t="shared" si="17"/>
        <v>0.28857107456885728</v>
      </c>
    </row>
    <row r="92" spans="1:17" x14ac:dyDescent="0.3">
      <c r="A92" s="1">
        <v>2695</v>
      </c>
      <c r="B92" s="1">
        <v>44020</v>
      </c>
      <c r="D92" s="1">
        <v>2504</v>
      </c>
      <c r="E92" s="1">
        <v>42199</v>
      </c>
      <c r="F92" s="1">
        <f t="shared" si="9"/>
        <v>191</v>
      </c>
      <c r="G92" s="1">
        <f t="shared" si="10"/>
        <v>1821</v>
      </c>
      <c r="H92" s="1">
        <f t="shared" si="11"/>
        <v>0.10488742449203735</v>
      </c>
      <c r="I92" s="2">
        <f t="shared" si="12"/>
        <v>5.9877131099664362</v>
      </c>
      <c r="K92" s="1">
        <v>2453</v>
      </c>
      <c r="L92" s="1">
        <v>44931</v>
      </c>
      <c r="M92" s="1">
        <f t="shared" si="13"/>
        <v>242</v>
      </c>
      <c r="N92" s="1">
        <f t="shared" si="14"/>
        <v>911</v>
      </c>
      <c r="O92" s="1">
        <f t="shared" si="15"/>
        <v>0.26564215148188802</v>
      </c>
      <c r="P92" s="2">
        <f t="shared" si="16"/>
        <v>14.876599938444016</v>
      </c>
      <c r="Q92">
        <f t="shared" si="17"/>
        <v>0.40249204352756879</v>
      </c>
    </row>
    <row r="93" spans="1:17" x14ac:dyDescent="0.3">
      <c r="A93" s="1">
        <v>3047</v>
      </c>
      <c r="B93" s="1">
        <v>47663</v>
      </c>
      <c r="D93" s="1">
        <v>2453</v>
      </c>
      <c r="E93" s="1">
        <v>44931</v>
      </c>
      <c r="F93" s="1">
        <f t="shared" si="9"/>
        <v>594</v>
      </c>
      <c r="G93" s="1">
        <f t="shared" si="10"/>
        <v>2732</v>
      </c>
      <c r="H93" s="1">
        <f t="shared" si="11"/>
        <v>0.21742313323572474</v>
      </c>
      <c r="I93" s="2">
        <f t="shared" si="12"/>
        <v>12.266515082160872</v>
      </c>
      <c r="K93" s="1">
        <v>2393</v>
      </c>
      <c r="L93" s="1">
        <v>51610</v>
      </c>
      <c r="M93" s="1">
        <f t="shared" si="13"/>
        <v>654</v>
      </c>
      <c r="N93" s="1">
        <f t="shared" si="14"/>
        <v>3947</v>
      </c>
      <c r="O93" s="1">
        <f t="shared" si="15"/>
        <v>0.16569546491005827</v>
      </c>
      <c r="P93" s="2">
        <f t="shared" si="16"/>
        <v>9.4081718736880298</v>
      </c>
      <c r="Q93">
        <f t="shared" si="17"/>
        <v>1.3038149437370306</v>
      </c>
    </row>
    <row r="94" spans="1:17" x14ac:dyDescent="0.3">
      <c r="A94" s="1">
        <v>3205</v>
      </c>
      <c r="B94" s="1">
        <v>62236</v>
      </c>
      <c r="D94" s="1">
        <v>2553</v>
      </c>
      <c r="E94" s="1">
        <v>57895</v>
      </c>
      <c r="F94" s="1">
        <f t="shared" si="9"/>
        <v>652</v>
      </c>
      <c r="G94" s="1">
        <f t="shared" si="10"/>
        <v>4341</v>
      </c>
      <c r="H94" s="1">
        <f t="shared" si="11"/>
        <v>0.15019580741764571</v>
      </c>
      <c r="I94" s="2">
        <f t="shared" si="12"/>
        <v>8.5417373617708847</v>
      </c>
      <c r="K94" s="1">
        <v>2600</v>
      </c>
      <c r="L94" s="1">
        <v>65575</v>
      </c>
      <c r="M94" s="1">
        <f t="shared" si="13"/>
        <v>605</v>
      </c>
      <c r="N94" s="1">
        <f t="shared" si="14"/>
        <v>3339</v>
      </c>
      <c r="O94" s="1">
        <f t="shared" si="15"/>
        <v>0.18119197364480383</v>
      </c>
      <c r="P94" s="2">
        <f t="shared" si="16"/>
        <v>10.270111690111872</v>
      </c>
      <c r="Q94">
        <f t="shared" si="17"/>
        <v>0.83170832212028656</v>
      </c>
    </row>
    <row r="95" spans="1:17" x14ac:dyDescent="0.3">
      <c r="A95" s="1">
        <v>3340</v>
      </c>
      <c r="B95" s="1">
        <v>70736</v>
      </c>
      <c r="D95" s="1">
        <v>2600</v>
      </c>
      <c r="E95" s="1">
        <v>65575</v>
      </c>
      <c r="F95" s="1">
        <f t="shared" si="9"/>
        <v>740</v>
      </c>
      <c r="G95" s="1">
        <f t="shared" si="10"/>
        <v>5161</v>
      </c>
      <c r="H95" s="1">
        <f t="shared" si="11"/>
        <v>0.14338306529742298</v>
      </c>
      <c r="I95" s="2">
        <f t="shared" si="12"/>
        <v>8.1596306508540728</v>
      </c>
      <c r="K95" s="1">
        <v>2591</v>
      </c>
      <c r="L95" s="1">
        <v>73165</v>
      </c>
      <c r="M95" s="1">
        <f t="shared" si="13"/>
        <v>749</v>
      </c>
      <c r="N95" s="1">
        <f t="shared" si="14"/>
        <v>2429</v>
      </c>
      <c r="O95" s="1">
        <f t="shared" si="15"/>
        <v>0.30835734870317005</v>
      </c>
      <c r="P95" s="2">
        <f t="shared" si="16"/>
        <v>17.137531017523752</v>
      </c>
      <c r="Q95">
        <f t="shared" si="17"/>
        <v>0.47612638264581708</v>
      </c>
    </row>
    <row r="96" spans="1:17" x14ac:dyDescent="0.3">
      <c r="A96" s="1">
        <v>2927</v>
      </c>
      <c r="B96" s="1">
        <v>77112</v>
      </c>
      <c r="D96" s="1">
        <v>2810</v>
      </c>
      <c r="E96" s="1">
        <v>75594</v>
      </c>
      <c r="F96" s="1">
        <f t="shared" si="9"/>
        <v>117</v>
      </c>
      <c r="G96" s="1">
        <f t="shared" si="10"/>
        <v>1518</v>
      </c>
      <c r="H96" s="1">
        <f t="shared" si="11"/>
        <v>7.7075098814229248E-2</v>
      </c>
      <c r="I96" s="2">
        <f t="shared" si="12"/>
        <v>4.4073642304794207</v>
      </c>
      <c r="K96" s="1">
        <v>2623</v>
      </c>
      <c r="L96" s="1">
        <v>78326</v>
      </c>
      <c r="M96" s="1">
        <f t="shared" si="13"/>
        <v>304</v>
      </c>
      <c r="N96" s="1">
        <f t="shared" si="14"/>
        <v>1214</v>
      </c>
      <c r="O96" s="1">
        <f t="shared" si="15"/>
        <v>0.25041186161449752</v>
      </c>
      <c r="P96" s="2">
        <f t="shared" si="16"/>
        <v>14.058451133292321</v>
      </c>
      <c r="Q96">
        <f t="shared" si="17"/>
        <v>0.31350283105100984</v>
      </c>
    </row>
    <row r="97" spans="1:17" x14ac:dyDescent="0.3">
      <c r="A97" s="1" t="s">
        <v>41</v>
      </c>
      <c r="B97" s="1"/>
      <c r="D97" s="1"/>
      <c r="E97" s="1"/>
      <c r="F97" s="1"/>
      <c r="G97" s="1"/>
      <c r="H97" s="1"/>
      <c r="I97" s="2"/>
      <c r="K97" s="1"/>
      <c r="L97" s="1"/>
      <c r="M97" s="1"/>
      <c r="N97" s="1"/>
      <c r="O97" s="1"/>
      <c r="P97" s="2"/>
    </row>
    <row r="98" spans="1:17" x14ac:dyDescent="0.3">
      <c r="A98" s="1">
        <v>0</v>
      </c>
      <c r="B98" s="1"/>
      <c r="D98" s="1"/>
      <c r="E98" s="1"/>
      <c r="F98" s="1">
        <f t="shared" si="9"/>
        <v>0</v>
      </c>
      <c r="G98" s="1">
        <f t="shared" si="10"/>
        <v>0</v>
      </c>
      <c r="H98" s="1" t="e">
        <f t="shared" si="11"/>
        <v>#DIV/0!</v>
      </c>
      <c r="I98" s="2" t="e">
        <f t="shared" si="12"/>
        <v>#DIV/0!</v>
      </c>
      <c r="K98" s="1"/>
      <c r="L98" s="1"/>
      <c r="M98" s="1">
        <f t="shared" si="13"/>
        <v>0</v>
      </c>
      <c r="N98" s="1">
        <f t="shared" si="14"/>
        <v>0</v>
      </c>
      <c r="O98" s="1" t="e">
        <f t="shared" si="15"/>
        <v>#DIV/0!</v>
      </c>
      <c r="P98" s="2" t="e">
        <f t="shared" si="16"/>
        <v>#DIV/0!</v>
      </c>
      <c r="Q98" t="e">
        <f t="shared" si="17"/>
        <v>#DIV/0!</v>
      </c>
    </row>
    <row r="99" spans="1:17" x14ac:dyDescent="0.3">
      <c r="A99" s="1"/>
      <c r="B99" s="1"/>
      <c r="D99" s="1"/>
      <c r="E99" s="1"/>
      <c r="F99" s="1">
        <f t="shared" si="9"/>
        <v>0</v>
      </c>
      <c r="G99" s="1">
        <f t="shared" si="10"/>
        <v>0</v>
      </c>
      <c r="H99" s="1" t="e">
        <f t="shared" si="11"/>
        <v>#DIV/0!</v>
      </c>
      <c r="I99" s="2" t="e">
        <f t="shared" si="12"/>
        <v>#DIV/0!</v>
      </c>
      <c r="K99" s="1"/>
      <c r="L99" s="1"/>
      <c r="M99" s="1">
        <f t="shared" si="13"/>
        <v>0</v>
      </c>
      <c r="N99" s="1">
        <f t="shared" si="14"/>
        <v>0</v>
      </c>
      <c r="O99" s="1" t="e">
        <f t="shared" si="15"/>
        <v>#DIV/0!</v>
      </c>
      <c r="P99" s="2" t="e">
        <f t="shared" si="16"/>
        <v>#DIV/0!</v>
      </c>
      <c r="Q99" t="e">
        <f t="shared" si="17"/>
        <v>#DIV/0!</v>
      </c>
    </row>
    <row r="100" spans="1:17" x14ac:dyDescent="0.3">
      <c r="A100" s="1"/>
      <c r="B100" s="1"/>
      <c r="D100" s="1"/>
      <c r="E100" s="1"/>
      <c r="F100" s="1">
        <f t="shared" si="9"/>
        <v>0</v>
      </c>
      <c r="G100" s="1">
        <f t="shared" si="10"/>
        <v>0</v>
      </c>
      <c r="H100" s="1" t="e">
        <f t="shared" si="11"/>
        <v>#DIV/0!</v>
      </c>
      <c r="I100" s="2" t="e">
        <f t="shared" si="12"/>
        <v>#DIV/0!</v>
      </c>
      <c r="K100" s="1"/>
      <c r="L100" s="1"/>
      <c r="M100" s="1">
        <f t="shared" si="13"/>
        <v>0</v>
      </c>
      <c r="N100" s="1">
        <f t="shared" si="14"/>
        <v>0</v>
      </c>
      <c r="O100" s="1" t="e">
        <f t="shared" si="15"/>
        <v>#DIV/0!</v>
      </c>
      <c r="P100" s="2" t="e">
        <f t="shared" si="16"/>
        <v>#DIV/0!</v>
      </c>
      <c r="Q100" t="e">
        <f t="shared" si="17"/>
        <v>#DIV/0!</v>
      </c>
    </row>
    <row r="101" spans="1:17" x14ac:dyDescent="0.3">
      <c r="A101" s="1"/>
      <c r="B101" s="1"/>
      <c r="D101" s="1"/>
      <c r="E101" s="1"/>
      <c r="F101" s="1">
        <f t="shared" si="9"/>
        <v>0</v>
      </c>
      <c r="G101" s="1">
        <f t="shared" si="10"/>
        <v>0</v>
      </c>
      <c r="H101" s="1" t="e">
        <f t="shared" si="11"/>
        <v>#DIV/0!</v>
      </c>
      <c r="I101" s="2" t="e">
        <f t="shared" si="12"/>
        <v>#DIV/0!</v>
      </c>
      <c r="K101" s="1"/>
      <c r="L101" s="1"/>
      <c r="M101" s="1">
        <f t="shared" si="13"/>
        <v>0</v>
      </c>
      <c r="N101" s="1">
        <f t="shared" si="14"/>
        <v>0</v>
      </c>
      <c r="O101" s="1" t="e">
        <f t="shared" si="15"/>
        <v>#DIV/0!</v>
      </c>
      <c r="P101" s="2" t="e">
        <f t="shared" si="16"/>
        <v>#DIV/0!</v>
      </c>
      <c r="Q101" t="e">
        <f t="shared" si="17"/>
        <v>#DIV/0!</v>
      </c>
    </row>
    <row r="102" spans="1:17" x14ac:dyDescent="0.3">
      <c r="A102" s="1"/>
      <c r="B102" s="1"/>
      <c r="D102" s="1"/>
      <c r="E102" s="1"/>
      <c r="F102" s="1">
        <f t="shared" si="9"/>
        <v>0</v>
      </c>
      <c r="G102" s="1">
        <f t="shared" si="10"/>
        <v>0</v>
      </c>
      <c r="H102" s="1" t="e">
        <f t="shared" si="11"/>
        <v>#DIV/0!</v>
      </c>
      <c r="I102" s="2" t="e">
        <f t="shared" si="12"/>
        <v>#DIV/0!</v>
      </c>
      <c r="K102" s="1"/>
      <c r="L102" s="1"/>
      <c r="M102" s="1">
        <f t="shared" si="13"/>
        <v>0</v>
      </c>
      <c r="N102" s="1">
        <f t="shared" si="14"/>
        <v>0</v>
      </c>
      <c r="O102" s="1" t="e">
        <f t="shared" si="15"/>
        <v>#DIV/0!</v>
      </c>
      <c r="P102" s="2" t="e">
        <f t="shared" si="16"/>
        <v>#DIV/0!</v>
      </c>
      <c r="Q102" t="e">
        <f t="shared" si="17"/>
        <v>#DIV/0!</v>
      </c>
    </row>
    <row r="103" spans="1:17" x14ac:dyDescent="0.3">
      <c r="A103" s="1"/>
      <c r="B103" s="1"/>
      <c r="D103" s="1"/>
      <c r="E103" s="1"/>
      <c r="F103" s="1">
        <f t="shared" si="9"/>
        <v>0</v>
      </c>
      <c r="G103" s="1">
        <f t="shared" si="10"/>
        <v>0</v>
      </c>
      <c r="H103" s="1" t="e">
        <f t="shared" si="11"/>
        <v>#DIV/0!</v>
      </c>
      <c r="I103" s="2" t="e">
        <f t="shared" si="12"/>
        <v>#DIV/0!</v>
      </c>
      <c r="K103" s="1"/>
      <c r="L103" s="1"/>
      <c r="M103" s="1">
        <f t="shared" si="13"/>
        <v>0</v>
      </c>
      <c r="N103" s="1">
        <f t="shared" si="14"/>
        <v>0</v>
      </c>
      <c r="O103" s="1" t="e">
        <f t="shared" si="15"/>
        <v>#DIV/0!</v>
      </c>
      <c r="P103" s="2" t="e">
        <f t="shared" si="16"/>
        <v>#DIV/0!</v>
      </c>
      <c r="Q103" t="e">
        <f t="shared" si="17"/>
        <v>#DIV/0!</v>
      </c>
    </row>
    <row r="104" spans="1:17" x14ac:dyDescent="0.3">
      <c r="A104" s="1"/>
      <c r="B104" s="1"/>
      <c r="D104" s="1"/>
      <c r="E104" s="1"/>
      <c r="F104" s="1">
        <f t="shared" si="9"/>
        <v>0</v>
      </c>
      <c r="G104" s="1">
        <f t="shared" si="10"/>
        <v>0</v>
      </c>
      <c r="H104" s="1" t="e">
        <f t="shared" si="11"/>
        <v>#DIV/0!</v>
      </c>
      <c r="I104" s="2" t="e">
        <f t="shared" si="12"/>
        <v>#DIV/0!</v>
      </c>
      <c r="K104" s="1"/>
      <c r="L104" s="1"/>
      <c r="M104" s="1">
        <f t="shared" si="13"/>
        <v>0</v>
      </c>
      <c r="N104" s="1">
        <f t="shared" si="14"/>
        <v>0</v>
      </c>
      <c r="O104" s="1" t="e">
        <f t="shared" si="15"/>
        <v>#DIV/0!</v>
      </c>
      <c r="P104" s="2" t="e">
        <f t="shared" si="16"/>
        <v>#DIV/0!</v>
      </c>
      <c r="Q104" t="e">
        <f t="shared" si="17"/>
        <v>#DIV/0!</v>
      </c>
    </row>
    <row r="105" spans="1:17" x14ac:dyDescent="0.3">
      <c r="A105" s="1"/>
      <c r="B105" s="1"/>
      <c r="D105" s="1"/>
      <c r="E105" s="1"/>
      <c r="F105" s="1">
        <f t="shared" si="9"/>
        <v>0</v>
      </c>
      <c r="G105" s="1">
        <f t="shared" si="10"/>
        <v>0</v>
      </c>
      <c r="H105" s="1" t="e">
        <f t="shared" si="11"/>
        <v>#DIV/0!</v>
      </c>
      <c r="I105" s="2" t="e">
        <f t="shared" si="12"/>
        <v>#DIV/0!</v>
      </c>
      <c r="K105" s="1"/>
      <c r="L105" s="1"/>
      <c r="M105" s="1">
        <f t="shared" si="13"/>
        <v>0</v>
      </c>
      <c r="N105" s="1">
        <f t="shared" si="14"/>
        <v>0</v>
      </c>
      <c r="O105" s="1" t="e">
        <f t="shared" si="15"/>
        <v>#DIV/0!</v>
      </c>
      <c r="P105" s="2" t="e">
        <f t="shared" si="16"/>
        <v>#DIV/0!</v>
      </c>
      <c r="Q105" t="e">
        <f t="shared" si="17"/>
        <v>#DIV/0!</v>
      </c>
    </row>
    <row r="106" spans="1:17" x14ac:dyDescent="0.3">
      <c r="A106" s="1"/>
      <c r="B106" s="1"/>
      <c r="D106" s="1"/>
      <c r="E106" s="1"/>
      <c r="F106" s="1">
        <f t="shared" si="9"/>
        <v>0</v>
      </c>
      <c r="G106" s="1">
        <f t="shared" si="10"/>
        <v>0</v>
      </c>
      <c r="H106" s="1" t="e">
        <f t="shared" si="11"/>
        <v>#DIV/0!</v>
      </c>
      <c r="I106" s="2" t="e">
        <f t="shared" si="12"/>
        <v>#DIV/0!</v>
      </c>
      <c r="K106" s="1"/>
      <c r="L106" s="1"/>
      <c r="M106" s="1">
        <f t="shared" si="13"/>
        <v>0</v>
      </c>
      <c r="N106" s="1">
        <f t="shared" si="14"/>
        <v>0</v>
      </c>
      <c r="O106" s="1" t="e">
        <f t="shared" si="15"/>
        <v>#DIV/0!</v>
      </c>
      <c r="P106" s="2" t="e">
        <f t="shared" si="16"/>
        <v>#DIV/0!</v>
      </c>
      <c r="Q106" t="e">
        <f t="shared" si="17"/>
        <v>#DIV/0!</v>
      </c>
    </row>
    <row r="107" spans="1:17" x14ac:dyDescent="0.3">
      <c r="A107" s="1"/>
      <c r="B107" s="1"/>
      <c r="D107" s="1"/>
      <c r="E107" s="1"/>
      <c r="F107" s="1">
        <f t="shared" si="9"/>
        <v>0</v>
      </c>
      <c r="G107" s="1">
        <f t="shared" si="10"/>
        <v>0</v>
      </c>
      <c r="H107" s="1" t="e">
        <f t="shared" si="11"/>
        <v>#DIV/0!</v>
      </c>
      <c r="I107" s="2" t="e">
        <f t="shared" si="12"/>
        <v>#DIV/0!</v>
      </c>
      <c r="K107" s="1"/>
      <c r="L107" s="1"/>
      <c r="M107" s="1">
        <f t="shared" si="13"/>
        <v>0</v>
      </c>
      <c r="N107" s="1">
        <f t="shared" si="14"/>
        <v>0</v>
      </c>
      <c r="O107" s="1" t="e">
        <f t="shared" si="15"/>
        <v>#DIV/0!</v>
      </c>
      <c r="P107" s="2" t="e">
        <f t="shared" si="16"/>
        <v>#DIV/0!</v>
      </c>
      <c r="Q107" t="e">
        <f t="shared" si="17"/>
        <v>#DIV/0!</v>
      </c>
    </row>
    <row r="108" spans="1:17" x14ac:dyDescent="0.3">
      <c r="A108" s="1"/>
      <c r="B108" s="1"/>
      <c r="D108" s="1"/>
      <c r="E108" s="1"/>
      <c r="F108" s="1">
        <f t="shared" si="9"/>
        <v>0</v>
      </c>
      <c r="G108" s="1">
        <f t="shared" si="10"/>
        <v>0</v>
      </c>
      <c r="H108" s="1" t="e">
        <f t="shared" si="11"/>
        <v>#DIV/0!</v>
      </c>
      <c r="I108" s="2" t="e">
        <f t="shared" si="12"/>
        <v>#DIV/0!</v>
      </c>
      <c r="K108" s="1"/>
      <c r="L108" s="1"/>
      <c r="M108" s="1">
        <f t="shared" si="13"/>
        <v>0</v>
      </c>
      <c r="N108" s="1">
        <f t="shared" si="14"/>
        <v>0</v>
      </c>
      <c r="O108" s="1" t="e">
        <f t="shared" si="15"/>
        <v>#DIV/0!</v>
      </c>
      <c r="P108" s="2" t="e">
        <f t="shared" si="16"/>
        <v>#DIV/0!</v>
      </c>
      <c r="Q108" t="e">
        <f t="shared" si="17"/>
        <v>#DIV/0!</v>
      </c>
    </row>
    <row r="109" spans="1:17" x14ac:dyDescent="0.3">
      <c r="A109" s="1"/>
      <c r="B109" s="1"/>
      <c r="D109" s="1"/>
      <c r="E109" s="1"/>
      <c r="F109" s="1">
        <f t="shared" si="9"/>
        <v>0</v>
      </c>
      <c r="G109" s="1">
        <f t="shared" si="10"/>
        <v>0</v>
      </c>
      <c r="H109" s="1" t="e">
        <f t="shared" si="11"/>
        <v>#DIV/0!</v>
      </c>
      <c r="I109" s="2" t="e">
        <f t="shared" si="12"/>
        <v>#DIV/0!</v>
      </c>
      <c r="K109" s="1"/>
      <c r="L109" s="1"/>
      <c r="M109" s="1">
        <f t="shared" si="13"/>
        <v>0</v>
      </c>
      <c r="N109" s="1">
        <f t="shared" si="14"/>
        <v>0</v>
      </c>
      <c r="O109" s="1" t="e">
        <f t="shared" si="15"/>
        <v>#DIV/0!</v>
      </c>
      <c r="P109" s="2" t="e">
        <f t="shared" si="16"/>
        <v>#DIV/0!</v>
      </c>
      <c r="Q109" t="e">
        <f t="shared" si="17"/>
        <v>#DIV/0!</v>
      </c>
    </row>
    <row r="110" spans="1:17" x14ac:dyDescent="0.3">
      <c r="A110" s="1"/>
      <c r="B110" s="1"/>
      <c r="D110" s="1"/>
      <c r="E110" s="1"/>
      <c r="F110" s="1">
        <f t="shared" si="9"/>
        <v>0</v>
      </c>
      <c r="G110" s="1">
        <f t="shared" si="10"/>
        <v>0</v>
      </c>
      <c r="H110" s="1" t="e">
        <f t="shared" si="11"/>
        <v>#DIV/0!</v>
      </c>
      <c r="I110" s="2" t="e">
        <f t="shared" si="12"/>
        <v>#DIV/0!</v>
      </c>
      <c r="K110" s="1"/>
      <c r="L110" s="1"/>
      <c r="M110" s="1">
        <f t="shared" si="13"/>
        <v>0</v>
      </c>
      <c r="N110" s="1">
        <f t="shared" si="14"/>
        <v>0</v>
      </c>
      <c r="O110" s="1" t="e">
        <f t="shared" si="15"/>
        <v>#DIV/0!</v>
      </c>
      <c r="P110" s="2" t="e">
        <f t="shared" si="16"/>
        <v>#DIV/0!</v>
      </c>
      <c r="Q110" t="e">
        <f t="shared" si="17"/>
        <v>#DIV/0!</v>
      </c>
    </row>
    <row r="111" spans="1:17" x14ac:dyDescent="0.3">
      <c r="A111" s="1"/>
      <c r="B111" s="1"/>
      <c r="D111" s="1"/>
      <c r="E111" s="1"/>
      <c r="F111" s="1">
        <f t="shared" si="9"/>
        <v>0</v>
      </c>
      <c r="G111" s="1">
        <f t="shared" si="10"/>
        <v>0</v>
      </c>
      <c r="H111" s="1" t="e">
        <f t="shared" si="11"/>
        <v>#DIV/0!</v>
      </c>
      <c r="I111" s="2" t="e">
        <f t="shared" si="12"/>
        <v>#DIV/0!</v>
      </c>
      <c r="K111" s="1"/>
      <c r="L111" s="1"/>
      <c r="M111" s="1">
        <f t="shared" si="13"/>
        <v>0</v>
      </c>
      <c r="N111" s="1">
        <f t="shared" si="14"/>
        <v>0</v>
      </c>
      <c r="O111" s="1" t="e">
        <f t="shared" si="15"/>
        <v>#DIV/0!</v>
      </c>
      <c r="P111" s="2" t="e">
        <f t="shared" si="16"/>
        <v>#DIV/0!</v>
      </c>
      <c r="Q111" t="e">
        <f t="shared" si="17"/>
        <v>#DIV/0!</v>
      </c>
    </row>
    <row r="112" spans="1:17" x14ac:dyDescent="0.3">
      <c r="A112" s="1"/>
      <c r="B112" s="1"/>
      <c r="D112" s="1"/>
      <c r="E112" s="1"/>
      <c r="F112" s="1">
        <f t="shared" si="9"/>
        <v>0</v>
      </c>
      <c r="G112" s="1">
        <f t="shared" si="10"/>
        <v>0</v>
      </c>
      <c r="H112" s="1" t="e">
        <f t="shared" si="11"/>
        <v>#DIV/0!</v>
      </c>
      <c r="I112" s="2" t="e">
        <f t="shared" si="12"/>
        <v>#DIV/0!</v>
      </c>
      <c r="K112" s="1"/>
      <c r="L112" s="1"/>
      <c r="M112" s="1">
        <f t="shared" si="13"/>
        <v>0</v>
      </c>
      <c r="N112" s="1">
        <f t="shared" si="14"/>
        <v>0</v>
      </c>
      <c r="O112" s="1" t="e">
        <f t="shared" si="15"/>
        <v>#DIV/0!</v>
      </c>
      <c r="P112" s="2" t="e">
        <f t="shared" si="16"/>
        <v>#DIV/0!</v>
      </c>
      <c r="Q112" t="e">
        <f t="shared" si="17"/>
        <v>#DIV/0!</v>
      </c>
    </row>
    <row r="113" spans="1:17" x14ac:dyDescent="0.3">
      <c r="A113" s="1"/>
      <c r="B113" s="1"/>
      <c r="D113" s="1"/>
      <c r="E113" s="1"/>
      <c r="F113" s="1">
        <f t="shared" si="9"/>
        <v>0</v>
      </c>
      <c r="G113" s="1">
        <f t="shared" si="10"/>
        <v>0</v>
      </c>
      <c r="H113" s="1" t="e">
        <f t="shared" si="11"/>
        <v>#DIV/0!</v>
      </c>
      <c r="I113" s="2" t="e">
        <f t="shared" si="12"/>
        <v>#DIV/0!</v>
      </c>
      <c r="K113" s="1"/>
      <c r="L113" s="1"/>
      <c r="M113" s="1">
        <f t="shared" si="13"/>
        <v>0</v>
      </c>
      <c r="N113" s="1">
        <f t="shared" si="14"/>
        <v>0</v>
      </c>
      <c r="O113" s="1" t="e">
        <f t="shared" si="15"/>
        <v>#DIV/0!</v>
      </c>
      <c r="P113" s="2" t="e">
        <f t="shared" si="16"/>
        <v>#DIV/0!</v>
      </c>
      <c r="Q113" t="e">
        <f t="shared" si="17"/>
        <v>#DIV/0!</v>
      </c>
    </row>
    <row r="114" spans="1:17" x14ac:dyDescent="0.3">
      <c r="A114" s="1"/>
      <c r="B114" s="1"/>
      <c r="D114" s="1"/>
      <c r="E114" s="1"/>
      <c r="F114" s="1">
        <f t="shared" si="9"/>
        <v>0</v>
      </c>
      <c r="G114" s="1">
        <f t="shared" si="10"/>
        <v>0</v>
      </c>
      <c r="H114" s="1" t="e">
        <f t="shared" si="11"/>
        <v>#DIV/0!</v>
      </c>
      <c r="I114" s="2" t="e">
        <f t="shared" si="12"/>
        <v>#DIV/0!</v>
      </c>
      <c r="K114" s="1"/>
      <c r="L114" s="1"/>
      <c r="M114" s="1">
        <f t="shared" si="13"/>
        <v>0</v>
      </c>
      <c r="N114" s="1">
        <f t="shared" si="14"/>
        <v>0</v>
      </c>
      <c r="O114" s="1" t="e">
        <f t="shared" si="15"/>
        <v>#DIV/0!</v>
      </c>
      <c r="P114" s="2" t="e">
        <f t="shared" si="16"/>
        <v>#DIV/0!</v>
      </c>
      <c r="Q114" t="e">
        <f t="shared" si="17"/>
        <v>#DIV/0!</v>
      </c>
    </row>
    <row r="115" spans="1:17" x14ac:dyDescent="0.3">
      <c r="A115" s="1"/>
      <c r="B115" s="1"/>
      <c r="D115" s="1"/>
      <c r="E115" s="1"/>
      <c r="F115" s="1">
        <f t="shared" si="9"/>
        <v>0</v>
      </c>
      <c r="G115" s="1">
        <f t="shared" si="10"/>
        <v>0</v>
      </c>
      <c r="H115" s="1" t="e">
        <f t="shared" si="11"/>
        <v>#DIV/0!</v>
      </c>
      <c r="I115" s="2" t="e">
        <f t="shared" si="12"/>
        <v>#DIV/0!</v>
      </c>
      <c r="K115" s="1"/>
      <c r="L115" s="1"/>
      <c r="M115" s="1">
        <f t="shared" si="13"/>
        <v>0</v>
      </c>
      <c r="N115" s="1">
        <f t="shared" si="14"/>
        <v>0</v>
      </c>
      <c r="O115" s="1" t="e">
        <f t="shared" si="15"/>
        <v>#DIV/0!</v>
      </c>
      <c r="P115" s="2" t="e">
        <f t="shared" si="16"/>
        <v>#DIV/0!</v>
      </c>
      <c r="Q115" t="e">
        <f t="shared" si="17"/>
        <v>#DIV/0!</v>
      </c>
    </row>
    <row r="116" spans="1:17" x14ac:dyDescent="0.3">
      <c r="A116" s="1"/>
      <c r="B116" s="1"/>
      <c r="D116" s="1"/>
      <c r="E116" s="1"/>
      <c r="F116" s="1">
        <f t="shared" si="9"/>
        <v>0</v>
      </c>
      <c r="G116" s="1">
        <f t="shared" si="10"/>
        <v>0</v>
      </c>
      <c r="H116" s="1" t="e">
        <f t="shared" si="11"/>
        <v>#DIV/0!</v>
      </c>
      <c r="I116" s="2" t="e">
        <f t="shared" si="12"/>
        <v>#DIV/0!</v>
      </c>
      <c r="K116" s="1"/>
      <c r="L116" s="1"/>
      <c r="M116" s="1">
        <f t="shared" si="13"/>
        <v>0</v>
      </c>
      <c r="N116" s="1">
        <f t="shared" si="14"/>
        <v>0</v>
      </c>
      <c r="O116" s="1" t="e">
        <f t="shared" si="15"/>
        <v>#DIV/0!</v>
      </c>
      <c r="P116" s="2" t="e">
        <f t="shared" si="16"/>
        <v>#DIV/0!</v>
      </c>
      <c r="Q116" t="e">
        <f t="shared" si="17"/>
        <v>#DIV/0!</v>
      </c>
    </row>
    <row r="117" spans="1:17" x14ac:dyDescent="0.3">
      <c r="A117" s="1"/>
      <c r="B117" s="1"/>
      <c r="D117" s="1"/>
      <c r="E117" s="1"/>
      <c r="F117" s="1">
        <f t="shared" si="9"/>
        <v>0</v>
      </c>
      <c r="G117" s="1">
        <f t="shared" si="10"/>
        <v>0</v>
      </c>
      <c r="H117" s="1" t="e">
        <f t="shared" si="11"/>
        <v>#DIV/0!</v>
      </c>
      <c r="I117" s="2" t="e">
        <f t="shared" si="12"/>
        <v>#DIV/0!</v>
      </c>
      <c r="K117" s="1"/>
      <c r="L117" s="1"/>
      <c r="M117" s="1">
        <f t="shared" si="13"/>
        <v>0</v>
      </c>
      <c r="N117" s="1">
        <f t="shared" si="14"/>
        <v>0</v>
      </c>
      <c r="O117" s="1" t="e">
        <f t="shared" si="15"/>
        <v>#DIV/0!</v>
      </c>
      <c r="P117" s="2" t="e">
        <f t="shared" si="16"/>
        <v>#DIV/0!</v>
      </c>
      <c r="Q117" t="e">
        <f t="shared" si="17"/>
        <v>#DIV/0!</v>
      </c>
    </row>
    <row r="118" spans="1:17" x14ac:dyDescent="0.3">
      <c r="A118" s="1"/>
      <c r="B118" s="1"/>
      <c r="D118" s="1"/>
      <c r="E118" s="1"/>
      <c r="F118" s="1">
        <f t="shared" si="9"/>
        <v>0</v>
      </c>
      <c r="G118" s="1">
        <f t="shared" si="10"/>
        <v>0</v>
      </c>
      <c r="H118" s="1" t="e">
        <f t="shared" si="11"/>
        <v>#DIV/0!</v>
      </c>
      <c r="I118" s="2" t="e">
        <f t="shared" si="12"/>
        <v>#DIV/0!</v>
      </c>
      <c r="K118" s="1"/>
      <c r="L118" s="1"/>
      <c r="M118" s="1">
        <f t="shared" si="13"/>
        <v>0</v>
      </c>
      <c r="N118" s="1">
        <f t="shared" si="14"/>
        <v>0</v>
      </c>
      <c r="O118" s="1" t="e">
        <f t="shared" si="15"/>
        <v>#DIV/0!</v>
      </c>
      <c r="P118" s="2" t="e">
        <f t="shared" si="16"/>
        <v>#DIV/0!</v>
      </c>
      <c r="Q118" t="e">
        <f t="shared" si="17"/>
        <v>#DIV/0!</v>
      </c>
    </row>
    <row r="119" spans="1:17" x14ac:dyDescent="0.3">
      <c r="A119" s="1"/>
      <c r="B119" s="1"/>
      <c r="D119" s="1"/>
      <c r="E119" s="1"/>
      <c r="F119" s="1">
        <f t="shared" si="9"/>
        <v>0</v>
      </c>
      <c r="G119" s="1">
        <f t="shared" si="10"/>
        <v>0</v>
      </c>
      <c r="H119" s="1" t="e">
        <f t="shared" si="11"/>
        <v>#DIV/0!</v>
      </c>
      <c r="I119" s="2" t="e">
        <f t="shared" si="12"/>
        <v>#DIV/0!</v>
      </c>
      <c r="K119" s="1"/>
      <c r="L119" s="1"/>
      <c r="M119" s="1">
        <f t="shared" si="13"/>
        <v>0</v>
      </c>
      <c r="N119" s="1">
        <f t="shared" si="14"/>
        <v>0</v>
      </c>
      <c r="O119" s="1" t="e">
        <f t="shared" si="15"/>
        <v>#DIV/0!</v>
      </c>
      <c r="P119" s="2" t="e">
        <f t="shared" si="16"/>
        <v>#DIV/0!</v>
      </c>
      <c r="Q119" t="e">
        <f t="shared" si="17"/>
        <v>#DIV/0!</v>
      </c>
    </row>
    <row r="120" spans="1:17" x14ac:dyDescent="0.3">
      <c r="A120" s="1"/>
      <c r="B120" s="1"/>
      <c r="D120" s="1"/>
      <c r="E120" s="1"/>
      <c r="F120" s="1">
        <f t="shared" si="9"/>
        <v>0</v>
      </c>
      <c r="G120" s="1">
        <f t="shared" si="10"/>
        <v>0</v>
      </c>
      <c r="H120" s="1" t="e">
        <f t="shared" si="11"/>
        <v>#DIV/0!</v>
      </c>
      <c r="I120" s="2" t="e">
        <f t="shared" si="12"/>
        <v>#DIV/0!</v>
      </c>
      <c r="K120" s="1"/>
      <c r="L120" s="1"/>
      <c r="M120" s="1">
        <f t="shared" si="13"/>
        <v>0</v>
      </c>
      <c r="N120" s="1">
        <f t="shared" si="14"/>
        <v>0</v>
      </c>
      <c r="O120" s="1" t="e">
        <f t="shared" si="15"/>
        <v>#DIV/0!</v>
      </c>
      <c r="P120" s="2" t="e">
        <f t="shared" si="16"/>
        <v>#DIV/0!</v>
      </c>
      <c r="Q120" t="e">
        <f t="shared" si="17"/>
        <v>#DIV/0!</v>
      </c>
    </row>
    <row r="121" spans="1:17" x14ac:dyDescent="0.3">
      <c r="A121" s="1"/>
      <c r="B121" s="1"/>
      <c r="D121" s="1"/>
      <c r="E121" s="1"/>
      <c r="F121" s="1">
        <f t="shared" si="9"/>
        <v>0</v>
      </c>
      <c r="G121" s="1">
        <f t="shared" si="10"/>
        <v>0</v>
      </c>
      <c r="H121" s="1" t="e">
        <f t="shared" si="11"/>
        <v>#DIV/0!</v>
      </c>
      <c r="I121" s="2" t="e">
        <f t="shared" si="12"/>
        <v>#DIV/0!</v>
      </c>
      <c r="K121" s="1"/>
      <c r="L121" s="1"/>
      <c r="M121" s="1">
        <f t="shared" si="13"/>
        <v>0</v>
      </c>
      <c r="N121" s="1">
        <f t="shared" si="14"/>
        <v>0</v>
      </c>
      <c r="O121" s="1" t="e">
        <f t="shared" si="15"/>
        <v>#DIV/0!</v>
      </c>
      <c r="P121" s="2" t="e">
        <f t="shared" si="16"/>
        <v>#DIV/0!</v>
      </c>
      <c r="Q121" t="e">
        <f t="shared" si="17"/>
        <v>#DIV/0!</v>
      </c>
    </row>
    <row r="122" spans="1:17" x14ac:dyDescent="0.3">
      <c r="A122" s="1"/>
      <c r="B122" s="1"/>
      <c r="D122" s="1"/>
      <c r="E122" s="1"/>
      <c r="F122" s="1">
        <f t="shared" si="9"/>
        <v>0</v>
      </c>
      <c r="G122" s="1">
        <f t="shared" si="10"/>
        <v>0</v>
      </c>
      <c r="H122" s="1" t="e">
        <f t="shared" si="11"/>
        <v>#DIV/0!</v>
      </c>
      <c r="I122" s="2" t="e">
        <f t="shared" si="12"/>
        <v>#DIV/0!</v>
      </c>
      <c r="K122" s="1"/>
      <c r="L122" s="1"/>
      <c r="M122" s="1">
        <f t="shared" si="13"/>
        <v>0</v>
      </c>
      <c r="N122" s="1">
        <f t="shared" si="14"/>
        <v>0</v>
      </c>
      <c r="O122" s="1" t="e">
        <f t="shared" si="15"/>
        <v>#DIV/0!</v>
      </c>
      <c r="P122" s="2" t="e">
        <f t="shared" si="16"/>
        <v>#DIV/0!</v>
      </c>
      <c r="Q122" t="e">
        <f t="shared" si="17"/>
        <v>#DIV/0!</v>
      </c>
    </row>
    <row r="123" spans="1:17" x14ac:dyDescent="0.3">
      <c r="A123" s="1"/>
      <c r="B123" s="1"/>
      <c r="D123" s="1"/>
      <c r="E123" s="1"/>
      <c r="F123" s="1">
        <f t="shared" si="9"/>
        <v>0</v>
      </c>
      <c r="G123" s="1">
        <f t="shared" si="10"/>
        <v>0</v>
      </c>
      <c r="H123" s="1" t="e">
        <f t="shared" si="11"/>
        <v>#DIV/0!</v>
      </c>
      <c r="I123" s="2" t="e">
        <f t="shared" si="12"/>
        <v>#DIV/0!</v>
      </c>
      <c r="K123" s="1"/>
      <c r="L123" s="1"/>
      <c r="M123" s="1">
        <f t="shared" si="13"/>
        <v>0</v>
      </c>
      <c r="N123" s="1">
        <f t="shared" si="14"/>
        <v>0</v>
      </c>
      <c r="O123" s="1" t="e">
        <f t="shared" si="15"/>
        <v>#DIV/0!</v>
      </c>
      <c r="P123" s="2" t="e">
        <f t="shared" si="16"/>
        <v>#DIV/0!</v>
      </c>
      <c r="Q123" t="e">
        <f t="shared" si="17"/>
        <v>#DIV/0!</v>
      </c>
    </row>
    <row r="124" spans="1:17" x14ac:dyDescent="0.3">
      <c r="A124" s="1"/>
      <c r="B124" s="1"/>
      <c r="D124" s="1"/>
      <c r="E124" s="1"/>
      <c r="F124" s="1">
        <f t="shared" si="9"/>
        <v>0</v>
      </c>
      <c r="G124" s="1">
        <f t="shared" si="10"/>
        <v>0</v>
      </c>
      <c r="H124" s="1" t="e">
        <f t="shared" si="11"/>
        <v>#DIV/0!</v>
      </c>
      <c r="I124" s="2" t="e">
        <f t="shared" si="12"/>
        <v>#DIV/0!</v>
      </c>
      <c r="K124" s="1"/>
      <c r="L124" s="1"/>
      <c r="M124" s="1">
        <f t="shared" si="13"/>
        <v>0</v>
      </c>
      <c r="N124" s="1">
        <f t="shared" si="14"/>
        <v>0</v>
      </c>
      <c r="O124" s="1" t="e">
        <f t="shared" si="15"/>
        <v>#DIV/0!</v>
      </c>
      <c r="P124" s="2" t="e">
        <f t="shared" si="16"/>
        <v>#DIV/0!</v>
      </c>
      <c r="Q124" t="e">
        <f t="shared" si="17"/>
        <v>#DIV/0!</v>
      </c>
    </row>
    <row r="125" spans="1:17" x14ac:dyDescent="0.3">
      <c r="A125" s="1"/>
      <c r="B125" s="1"/>
      <c r="D125" s="1"/>
      <c r="E125" s="1"/>
      <c r="F125" s="1">
        <f t="shared" si="9"/>
        <v>0</v>
      </c>
      <c r="G125" s="1">
        <f t="shared" si="10"/>
        <v>0</v>
      </c>
      <c r="H125" s="1" t="e">
        <f t="shared" si="11"/>
        <v>#DIV/0!</v>
      </c>
      <c r="I125" s="2" t="e">
        <f t="shared" si="12"/>
        <v>#DIV/0!</v>
      </c>
      <c r="K125" s="1"/>
      <c r="L125" s="1"/>
      <c r="M125" s="1">
        <f t="shared" si="13"/>
        <v>0</v>
      </c>
      <c r="N125" s="1">
        <f t="shared" si="14"/>
        <v>0</v>
      </c>
      <c r="O125" s="1" t="e">
        <f t="shared" si="15"/>
        <v>#DIV/0!</v>
      </c>
      <c r="P125" s="2" t="e">
        <f t="shared" si="16"/>
        <v>#DIV/0!</v>
      </c>
      <c r="Q125" t="e">
        <f t="shared" si="17"/>
        <v>#DIV/0!</v>
      </c>
    </row>
    <row r="126" spans="1:17" x14ac:dyDescent="0.3">
      <c r="A126" s="1"/>
      <c r="B126" s="1"/>
      <c r="D126" s="1"/>
      <c r="E126" s="1"/>
      <c r="F126" s="1">
        <f t="shared" si="9"/>
        <v>0</v>
      </c>
      <c r="G126" s="1">
        <f t="shared" si="10"/>
        <v>0</v>
      </c>
      <c r="H126" s="1" t="e">
        <f t="shared" si="11"/>
        <v>#DIV/0!</v>
      </c>
      <c r="I126" s="2" t="e">
        <f t="shared" si="12"/>
        <v>#DIV/0!</v>
      </c>
      <c r="K126" s="1"/>
      <c r="L126" s="1"/>
      <c r="M126" s="1">
        <f t="shared" si="13"/>
        <v>0</v>
      </c>
      <c r="N126" s="1">
        <f t="shared" si="14"/>
        <v>0</v>
      </c>
      <c r="O126" s="1" t="e">
        <f t="shared" si="15"/>
        <v>#DIV/0!</v>
      </c>
      <c r="P126" s="2" t="e">
        <f t="shared" si="16"/>
        <v>#DIV/0!</v>
      </c>
      <c r="Q126" t="e">
        <f t="shared" si="17"/>
        <v>#DIV/0!</v>
      </c>
    </row>
    <row r="127" spans="1:17" x14ac:dyDescent="0.3">
      <c r="A127" s="1"/>
      <c r="B127" s="1"/>
      <c r="D127" s="1"/>
      <c r="E127" s="1"/>
      <c r="F127" s="1">
        <f t="shared" si="9"/>
        <v>0</v>
      </c>
      <c r="G127" s="1">
        <f t="shared" si="10"/>
        <v>0</v>
      </c>
      <c r="H127" s="1" t="e">
        <f t="shared" si="11"/>
        <v>#DIV/0!</v>
      </c>
      <c r="I127" s="2" t="e">
        <f t="shared" si="12"/>
        <v>#DIV/0!</v>
      </c>
      <c r="K127" s="1"/>
      <c r="L127" s="1"/>
      <c r="M127" s="1">
        <f t="shared" si="13"/>
        <v>0</v>
      </c>
      <c r="N127" s="1">
        <f t="shared" si="14"/>
        <v>0</v>
      </c>
      <c r="O127" s="1" t="e">
        <f t="shared" si="15"/>
        <v>#DIV/0!</v>
      </c>
      <c r="P127" s="2" t="e">
        <f t="shared" si="16"/>
        <v>#DIV/0!</v>
      </c>
      <c r="Q127" t="e">
        <f t="shared" si="17"/>
        <v>#DIV/0!</v>
      </c>
    </row>
    <row r="128" spans="1:17" x14ac:dyDescent="0.3">
      <c r="A128" s="1"/>
      <c r="B128" s="1"/>
      <c r="D128" s="1"/>
      <c r="E128" s="1"/>
      <c r="F128" s="1">
        <f t="shared" si="9"/>
        <v>0</v>
      </c>
      <c r="G128" s="1">
        <f t="shared" si="10"/>
        <v>0</v>
      </c>
      <c r="H128" s="1" t="e">
        <f t="shared" si="11"/>
        <v>#DIV/0!</v>
      </c>
      <c r="I128" s="2" t="e">
        <f t="shared" si="12"/>
        <v>#DIV/0!</v>
      </c>
      <c r="K128" s="1"/>
      <c r="L128" s="1"/>
      <c r="M128" s="1">
        <f t="shared" si="13"/>
        <v>0</v>
      </c>
      <c r="N128" s="1">
        <f t="shared" si="14"/>
        <v>0</v>
      </c>
      <c r="O128" s="1" t="e">
        <f t="shared" si="15"/>
        <v>#DIV/0!</v>
      </c>
      <c r="P128" s="2" t="e">
        <f t="shared" si="16"/>
        <v>#DIV/0!</v>
      </c>
      <c r="Q128" t="e">
        <f t="shared" si="17"/>
        <v>#DIV/0!</v>
      </c>
    </row>
    <row r="129" spans="1:17" x14ac:dyDescent="0.3">
      <c r="A129" s="1"/>
      <c r="B129" s="1"/>
      <c r="D129" s="1"/>
      <c r="E129" s="1"/>
      <c r="F129" s="1">
        <f t="shared" si="9"/>
        <v>0</v>
      </c>
      <c r="G129" s="1">
        <f t="shared" si="10"/>
        <v>0</v>
      </c>
      <c r="H129" s="1" t="e">
        <f t="shared" si="11"/>
        <v>#DIV/0!</v>
      </c>
      <c r="I129" s="2" t="e">
        <f t="shared" si="12"/>
        <v>#DIV/0!</v>
      </c>
      <c r="K129" s="1"/>
      <c r="L129" s="1"/>
      <c r="M129" s="1">
        <f t="shared" si="13"/>
        <v>0</v>
      </c>
      <c r="N129" s="1">
        <f t="shared" si="14"/>
        <v>0</v>
      </c>
      <c r="O129" s="1" t="e">
        <f t="shared" si="15"/>
        <v>#DIV/0!</v>
      </c>
      <c r="P129" s="2" t="e">
        <f t="shared" si="16"/>
        <v>#DIV/0!</v>
      </c>
      <c r="Q129" t="e">
        <f t="shared" si="17"/>
        <v>#DIV/0!</v>
      </c>
    </row>
    <row r="130" spans="1:17" x14ac:dyDescent="0.3">
      <c r="A130" s="1"/>
      <c r="B130" s="1"/>
      <c r="D130" s="1"/>
      <c r="E130" s="1"/>
      <c r="F130" s="1">
        <f t="shared" si="9"/>
        <v>0</v>
      </c>
      <c r="G130" s="1">
        <f t="shared" si="10"/>
        <v>0</v>
      </c>
      <c r="H130" s="1" t="e">
        <f t="shared" si="11"/>
        <v>#DIV/0!</v>
      </c>
      <c r="I130" s="2" t="e">
        <f t="shared" si="12"/>
        <v>#DIV/0!</v>
      </c>
      <c r="K130" s="1"/>
      <c r="L130" s="1"/>
      <c r="M130" s="1">
        <f t="shared" si="13"/>
        <v>0</v>
      </c>
      <c r="N130" s="1">
        <f t="shared" si="14"/>
        <v>0</v>
      </c>
      <c r="O130" s="1" t="e">
        <f t="shared" si="15"/>
        <v>#DIV/0!</v>
      </c>
      <c r="P130" s="2" t="e">
        <f t="shared" si="16"/>
        <v>#DIV/0!</v>
      </c>
      <c r="Q130" t="e">
        <f t="shared" si="17"/>
        <v>#DIV/0!</v>
      </c>
    </row>
    <row r="131" spans="1:17" x14ac:dyDescent="0.3">
      <c r="A131" s="1"/>
      <c r="B131" s="1"/>
      <c r="D131" s="1"/>
      <c r="E131" s="1"/>
      <c r="F131" s="1">
        <f t="shared" si="9"/>
        <v>0</v>
      </c>
      <c r="G131" s="1">
        <f t="shared" si="10"/>
        <v>0</v>
      </c>
      <c r="H131" s="1" t="e">
        <f t="shared" si="11"/>
        <v>#DIV/0!</v>
      </c>
      <c r="I131" s="2" t="e">
        <f t="shared" si="12"/>
        <v>#DIV/0!</v>
      </c>
      <c r="K131" s="1"/>
      <c r="L131" s="1"/>
      <c r="M131" s="1">
        <f t="shared" si="13"/>
        <v>0</v>
      </c>
      <c r="N131" s="1">
        <f t="shared" si="14"/>
        <v>0</v>
      </c>
      <c r="O131" s="1" t="e">
        <f t="shared" si="15"/>
        <v>#DIV/0!</v>
      </c>
      <c r="P131" s="2" t="e">
        <f t="shared" si="16"/>
        <v>#DIV/0!</v>
      </c>
      <c r="Q131" t="e">
        <f t="shared" si="17"/>
        <v>#DIV/0!</v>
      </c>
    </row>
    <row r="132" spans="1:17" x14ac:dyDescent="0.3">
      <c r="A132" s="1"/>
      <c r="B132" s="1"/>
      <c r="D132" s="1"/>
      <c r="E132" s="1"/>
      <c r="F132" s="1">
        <f t="shared" ref="F132:F168" si="18">(A132-D132)</f>
        <v>0</v>
      </c>
      <c r="G132" s="1">
        <f t="shared" ref="G132:G168" si="19">B132-E132</f>
        <v>0</v>
      </c>
      <c r="H132" s="1" t="e">
        <f t="shared" ref="H132:H168" si="20">F132/G132</f>
        <v>#DIV/0!</v>
      </c>
      <c r="I132" s="2" t="e">
        <f t="shared" ref="I132:I168" si="21">DEGREES(ATAN(H132))</f>
        <v>#DIV/0!</v>
      </c>
      <c r="K132" s="1"/>
      <c r="L132" s="1"/>
      <c r="M132" s="1">
        <f t="shared" ref="M132:M168" si="22">A132-K132</f>
        <v>0</v>
      </c>
      <c r="N132" s="1">
        <f t="shared" ref="N132:N168" si="23">L132-B132</f>
        <v>0</v>
      </c>
      <c r="O132" s="1" t="e">
        <f t="shared" ref="O132:O168" si="24">M132/N132</f>
        <v>#DIV/0!</v>
      </c>
      <c r="P132" s="2" t="e">
        <f t="shared" ref="P132:P168" si="25">DEGREES(ATAN(O132))</f>
        <v>#DIV/0!</v>
      </c>
      <c r="Q132" t="e">
        <f t="shared" ref="Q132:Q168" si="26">I132/P132</f>
        <v>#DIV/0!</v>
      </c>
    </row>
    <row r="133" spans="1:17" x14ac:dyDescent="0.3">
      <c r="A133" s="1"/>
      <c r="B133" s="1"/>
      <c r="D133" s="1"/>
      <c r="E133" s="1"/>
      <c r="F133" s="1">
        <f t="shared" si="18"/>
        <v>0</v>
      </c>
      <c r="G133" s="1">
        <f t="shared" si="19"/>
        <v>0</v>
      </c>
      <c r="H133" s="1" t="e">
        <f t="shared" si="20"/>
        <v>#DIV/0!</v>
      </c>
      <c r="I133" s="2" t="e">
        <f t="shared" si="21"/>
        <v>#DIV/0!</v>
      </c>
      <c r="K133" s="1"/>
      <c r="L133" s="1"/>
      <c r="M133" s="1">
        <f t="shared" si="22"/>
        <v>0</v>
      </c>
      <c r="N133" s="1">
        <f t="shared" si="23"/>
        <v>0</v>
      </c>
      <c r="O133" s="1" t="e">
        <f t="shared" si="24"/>
        <v>#DIV/0!</v>
      </c>
      <c r="P133" s="2" t="e">
        <f t="shared" si="25"/>
        <v>#DIV/0!</v>
      </c>
      <c r="Q133" t="e">
        <f t="shared" si="26"/>
        <v>#DIV/0!</v>
      </c>
    </row>
    <row r="134" spans="1:17" x14ac:dyDescent="0.3">
      <c r="A134" s="1"/>
      <c r="B134" s="1"/>
      <c r="D134" s="1"/>
      <c r="E134" s="1"/>
      <c r="F134" s="1">
        <f t="shared" si="18"/>
        <v>0</v>
      </c>
      <c r="G134" s="1">
        <f t="shared" si="19"/>
        <v>0</v>
      </c>
      <c r="H134" s="1" t="e">
        <f t="shared" si="20"/>
        <v>#DIV/0!</v>
      </c>
      <c r="I134" s="2" t="e">
        <f t="shared" si="21"/>
        <v>#DIV/0!</v>
      </c>
      <c r="K134" s="1"/>
      <c r="L134" s="1"/>
      <c r="M134" s="1">
        <f t="shared" si="22"/>
        <v>0</v>
      </c>
      <c r="N134" s="1">
        <f t="shared" si="23"/>
        <v>0</v>
      </c>
      <c r="O134" s="1" t="e">
        <f t="shared" si="24"/>
        <v>#DIV/0!</v>
      </c>
      <c r="P134" s="2" t="e">
        <f t="shared" si="25"/>
        <v>#DIV/0!</v>
      </c>
      <c r="Q134" t="e">
        <f t="shared" si="26"/>
        <v>#DIV/0!</v>
      </c>
    </row>
    <row r="135" spans="1:17" x14ac:dyDescent="0.3">
      <c r="A135" s="1"/>
      <c r="B135" s="1"/>
      <c r="D135" s="1"/>
      <c r="E135" s="1"/>
      <c r="F135" s="1">
        <f t="shared" si="18"/>
        <v>0</v>
      </c>
      <c r="G135" s="1">
        <f t="shared" si="19"/>
        <v>0</v>
      </c>
      <c r="H135" s="1" t="e">
        <f t="shared" si="20"/>
        <v>#DIV/0!</v>
      </c>
      <c r="I135" s="2" t="e">
        <f t="shared" si="21"/>
        <v>#DIV/0!</v>
      </c>
      <c r="K135" s="1"/>
      <c r="L135" s="1"/>
      <c r="M135" s="1">
        <f t="shared" si="22"/>
        <v>0</v>
      </c>
      <c r="N135" s="1">
        <f t="shared" si="23"/>
        <v>0</v>
      </c>
      <c r="O135" s="1" t="e">
        <f t="shared" si="24"/>
        <v>#DIV/0!</v>
      </c>
      <c r="P135" s="2" t="e">
        <f t="shared" si="25"/>
        <v>#DIV/0!</v>
      </c>
      <c r="Q135" t="e">
        <f t="shared" si="26"/>
        <v>#DIV/0!</v>
      </c>
    </row>
    <row r="136" spans="1:17" x14ac:dyDescent="0.3">
      <c r="A136" s="1"/>
      <c r="B136" s="1"/>
      <c r="D136" s="1"/>
      <c r="E136" s="1"/>
      <c r="F136" s="1">
        <f t="shared" si="18"/>
        <v>0</v>
      </c>
      <c r="G136" s="1">
        <f t="shared" si="19"/>
        <v>0</v>
      </c>
      <c r="H136" s="1" t="e">
        <f t="shared" si="20"/>
        <v>#DIV/0!</v>
      </c>
      <c r="I136" s="2" t="e">
        <f t="shared" si="21"/>
        <v>#DIV/0!</v>
      </c>
      <c r="K136" s="1"/>
      <c r="L136" s="1"/>
      <c r="M136" s="1">
        <f t="shared" si="22"/>
        <v>0</v>
      </c>
      <c r="N136" s="1">
        <f t="shared" si="23"/>
        <v>0</v>
      </c>
      <c r="O136" s="1" t="e">
        <f t="shared" si="24"/>
        <v>#DIV/0!</v>
      </c>
      <c r="P136" s="2" t="e">
        <f t="shared" si="25"/>
        <v>#DIV/0!</v>
      </c>
      <c r="Q136" t="e">
        <f t="shared" si="26"/>
        <v>#DIV/0!</v>
      </c>
    </row>
    <row r="137" spans="1:17" x14ac:dyDescent="0.3">
      <c r="A137" s="1"/>
      <c r="B137" s="1"/>
      <c r="D137" s="1"/>
      <c r="E137" s="1"/>
      <c r="F137" s="1">
        <f t="shared" si="18"/>
        <v>0</v>
      </c>
      <c r="G137" s="1">
        <f t="shared" si="19"/>
        <v>0</v>
      </c>
      <c r="H137" s="1" t="e">
        <f t="shared" si="20"/>
        <v>#DIV/0!</v>
      </c>
      <c r="I137" s="2" t="e">
        <f t="shared" si="21"/>
        <v>#DIV/0!</v>
      </c>
      <c r="K137" s="1"/>
      <c r="L137" s="1"/>
      <c r="M137" s="1">
        <f t="shared" si="22"/>
        <v>0</v>
      </c>
      <c r="N137" s="1">
        <f t="shared" si="23"/>
        <v>0</v>
      </c>
      <c r="O137" s="1" t="e">
        <f t="shared" si="24"/>
        <v>#DIV/0!</v>
      </c>
      <c r="P137" s="2" t="e">
        <f t="shared" si="25"/>
        <v>#DIV/0!</v>
      </c>
      <c r="Q137" t="e">
        <f t="shared" si="26"/>
        <v>#DIV/0!</v>
      </c>
    </row>
    <row r="138" spans="1:17" x14ac:dyDescent="0.3">
      <c r="A138" s="1"/>
      <c r="B138" s="1"/>
      <c r="D138" s="1"/>
      <c r="E138" s="1"/>
      <c r="F138" s="1">
        <f t="shared" si="18"/>
        <v>0</v>
      </c>
      <c r="G138" s="1">
        <f t="shared" si="19"/>
        <v>0</v>
      </c>
      <c r="H138" s="1" t="e">
        <f t="shared" si="20"/>
        <v>#DIV/0!</v>
      </c>
      <c r="I138" s="2" t="e">
        <f t="shared" si="21"/>
        <v>#DIV/0!</v>
      </c>
      <c r="K138" s="1"/>
      <c r="L138" s="1"/>
      <c r="M138" s="1">
        <f t="shared" si="22"/>
        <v>0</v>
      </c>
      <c r="N138" s="1">
        <f t="shared" si="23"/>
        <v>0</v>
      </c>
      <c r="O138" s="1" t="e">
        <f t="shared" si="24"/>
        <v>#DIV/0!</v>
      </c>
      <c r="P138" s="2" t="e">
        <f t="shared" si="25"/>
        <v>#DIV/0!</v>
      </c>
      <c r="Q138" t="e">
        <f t="shared" si="26"/>
        <v>#DIV/0!</v>
      </c>
    </row>
    <row r="139" spans="1:17" x14ac:dyDescent="0.3">
      <c r="A139" s="1"/>
      <c r="B139" s="1"/>
      <c r="D139" s="1"/>
      <c r="E139" s="1"/>
      <c r="F139" s="1">
        <f t="shared" si="18"/>
        <v>0</v>
      </c>
      <c r="G139" s="1">
        <f t="shared" si="19"/>
        <v>0</v>
      </c>
      <c r="H139" s="1" t="e">
        <f t="shared" si="20"/>
        <v>#DIV/0!</v>
      </c>
      <c r="I139" s="2" t="e">
        <f t="shared" si="21"/>
        <v>#DIV/0!</v>
      </c>
      <c r="K139" s="1"/>
      <c r="L139" s="1"/>
      <c r="M139" s="1">
        <f t="shared" si="22"/>
        <v>0</v>
      </c>
      <c r="N139" s="1">
        <f t="shared" si="23"/>
        <v>0</v>
      </c>
      <c r="O139" s="1" t="e">
        <f t="shared" si="24"/>
        <v>#DIV/0!</v>
      </c>
      <c r="P139" s="2" t="e">
        <f t="shared" si="25"/>
        <v>#DIV/0!</v>
      </c>
      <c r="Q139" t="e">
        <f t="shared" si="26"/>
        <v>#DIV/0!</v>
      </c>
    </row>
    <row r="140" spans="1:17" x14ac:dyDescent="0.3">
      <c r="A140" s="1"/>
      <c r="B140" s="1"/>
      <c r="D140" s="1"/>
      <c r="E140" s="1"/>
      <c r="F140" s="1">
        <f t="shared" si="18"/>
        <v>0</v>
      </c>
      <c r="G140" s="1">
        <f t="shared" si="19"/>
        <v>0</v>
      </c>
      <c r="H140" s="1" t="e">
        <f t="shared" si="20"/>
        <v>#DIV/0!</v>
      </c>
      <c r="I140" s="2" t="e">
        <f t="shared" si="21"/>
        <v>#DIV/0!</v>
      </c>
      <c r="K140" s="1"/>
      <c r="L140" s="1"/>
      <c r="M140" s="1">
        <f t="shared" si="22"/>
        <v>0</v>
      </c>
      <c r="N140" s="1">
        <f t="shared" si="23"/>
        <v>0</v>
      </c>
      <c r="O140" s="1" t="e">
        <f t="shared" si="24"/>
        <v>#DIV/0!</v>
      </c>
      <c r="P140" s="2" t="e">
        <f t="shared" si="25"/>
        <v>#DIV/0!</v>
      </c>
      <c r="Q140" t="e">
        <f t="shared" si="26"/>
        <v>#DIV/0!</v>
      </c>
    </row>
    <row r="141" spans="1:17" x14ac:dyDescent="0.3">
      <c r="A141" s="1"/>
      <c r="B141" s="1"/>
      <c r="D141" s="1"/>
      <c r="E141" s="1"/>
      <c r="F141" s="1">
        <f t="shared" si="18"/>
        <v>0</v>
      </c>
      <c r="G141" s="1">
        <f t="shared" si="19"/>
        <v>0</v>
      </c>
      <c r="H141" s="1" t="e">
        <f t="shared" si="20"/>
        <v>#DIV/0!</v>
      </c>
      <c r="I141" s="2" t="e">
        <f t="shared" si="21"/>
        <v>#DIV/0!</v>
      </c>
      <c r="K141" s="1"/>
      <c r="L141" s="1"/>
      <c r="M141" s="1">
        <f t="shared" si="22"/>
        <v>0</v>
      </c>
      <c r="N141" s="1">
        <f t="shared" si="23"/>
        <v>0</v>
      </c>
      <c r="O141" s="1" t="e">
        <f t="shared" si="24"/>
        <v>#DIV/0!</v>
      </c>
      <c r="P141" s="2" t="e">
        <f t="shared" si="25"/>
        <v>#DIV/0!</v>
      </c>
      <c r="Q141" t="e">
        <f t="shared" si="26"/>
        <v>#DIV/0!</v>
      </c>
    </row>
    <row r="142" spans="1:17" x14ac:dyDescent="0.3">
      <c r="A142" s="1"/>
      <c r="B142" s="1"/>
      <c r="D142" s="1"/>
      <c r="E142" s="1"/>
      <c r="F142" s="1">
        <f t="shared" si="18"/>
        <v>0</v>
      </c>
      <c r="G142" s="1">
        <f t="shared" si="19"/>
        <v>0</v>
      </c>
      <c r="H142" s="1" t="e">
        <f t="shared" si="20"/>
        <v>#DIV/0!</v>
      </c>
      <c r="I142" s="2" t="e">
        <f t="shared" si="21"/>
        <v>#DIV/0!</v>
      </c>
      <c r="K142" s="1"/>
      <c r="L142" s="1"/>
      <c r="M142" s="1">
        <f t="shared" si="22"/>
        <v>0</v>
      </c>
      <c r="N142" s="1">
        <f t="shared" si="23"/>
        <v>0</v>
      </c>
      <c r="O142" s="1" t="e">
        <f t="shared" si="24"/>
        <v>#DIV/0!</v>
      </c>
      <c r="P142" s="2" t="e">
        <f t="shared" si="25"/>
        <v>#DIV/0!</v>
      </c>
      <c r="Q142" t="e">
        <f t="shared" si="26"/>
        <v>#DIV/0!</v>
      </c>
    </row>
    <row r="143" spans="1:17" x14ac:dyDescent="0.3">
      <c r="A143" s="1"/>
      <c r="B143" s="1"/>
      <c r="D143" s="1"/>
      <c r="E143" s="1"/>
      <c r="F143" s="1">
        <f t="shared" si="18"/>
        <v>0</v>
      </c>
      <c r="G143" s="1">
        <f t="shared" si="19"/>
        <v>0</v>
      </c>
      <c r="H143" s="1" t="e">
        <f t="shared" si="20"/>
        <v>#DIV/0!</v>
      </c>
      <c r="I143" s="2" t="e">
        <f t="shared" si="21"/>
        <v>#DIV/0!</v>
      </c>
      <c r="K143" s="1"/>
      <c r="L143" s="1"/>
      <c r="M143" s="1">
        <f t="shared" si="22"/>
        <v>0</v>
      </c>
      <c r="N143" s="1">
        <f t="shared" si="23"/>
        <v>0</v>
      </c>
      <c r="O143" s="1" t="e">
        <f t="shared" si="24"/>
        <v>#DIV/0!</v>
      </c>
      <c r="P143" s="2" t="e">
        <f t="shared" si="25"/>
        <v>#DIV/0!</v>
      </c>
      <c r="Q143" t="e">
        <f t="shared" si="26"/>
        <v>#DIV/0!</v>
      </c>
    </row>
    <row r="144" spans="1:17" x14ac:dyDescent="0.3">
      <c r="A144" s="1"/>
      <c r="B144" s="1"/>
      <c r="D144" s="1"/>
      <c r="E144" s="1"/>
      <c r="F144" s="1">
        <f t="shared" si="18"/>
        <v>0</v>
      </c>
      <c r="G144" s="1">
        <f t="shared" si="19"/>
        <v>0</v>
      </c>
      <c r="H144" s="1" t="e">
        <f t="shared" si="20"/>
        <v>#DIV/0!</v>
      </c>
      <c r="I144" s="2" t="e">
        <f t="shared" si="21"/>
        <v>#DIV/0!</v>
      </c>
      <c r="K144" s="1"/>
      <c r="L144" s="1"/>
      <c r="M144" s="1">
        <f t="shared" si="22"/>
        <v>0</v>
      </c>
      <c r="N144" s="1">
        <f t="shared" si="23"/>
        <v>0</v>
      </c>
      <c r="O144" s="1" t="e">
        <f t="shared" si="24"/>
        <v>#DIV/0!</v>
      </c>
      <c r="P144" s="2" t="e">
        <f t="shared" si="25"/>
        <v>#DIV/0!</v>
      </c>
      <c r="Q144" t="e">
        <f t="shared" si="26"/>
        <v>#DIV/0!</v>
      </c>
    </row>
    <row r="145" spans="1:17" x14ac:dyDescent="0.3">
      <c r="A145" s="1"/>
      <c r="B145" s="1"/>
      <c r="D145" s="1"/>
      <c r="E145" s="1"/>
      <c r="F145" s="1">
        <f t="shared" si="18"/>
        <v>0</v>
      </c>
      <c r="G145" s="1">
        <f t="shared" si="19"/>
        <v>0</v>
      </c>
      <c r="H145" s="1" t="e">
        <f t="shared" si="20"/>
        <v>#DIV/0!</v>
      </c>
      <c r="I145" s="2" t="e">
        <f t="shared" si="21"/>
        <v>#DIV/0!</v>
      </c>
      <c r="K145" s="1"/>
      <c r="L145" s="1"/>
      <c r="M145" s="1">
        <f t="shared" si="22"/>
        <v>0</v>
      </c>
      <c r="N145" s="1">
        <f t="shared" si="23"/>
        <v>0</v>
      </c>
      <c r="O145" s="1" t="e">
        <f t="shared" si="24"/>
        <v>#DIV/0!</v>
      </c>
      <c r="P145" s="2" t="e">
        <f t="shared" si="25"/>
        <v>#DIV/0!</v>
      </c>
      <c r="Q145" t="e">
        <f t="shared" si="26"/>
        <v>#DIV/0!</v>
      </c>
    </row>
    <row r="146" spans="1:17" x14ac:dyDescent="0.3">
      <c r="A146" s="1"/>
      <c r="B146" s="1"/>
      <c r="D146" s="1"/>
      <c r="E146" s="1"/>
      <c r="F146" s="1">
        <f t="shared" si="18"/>
        <v>0</v>
      </c>
      <c r="G146" s="1">
        <f t="shared" si="19"/>
        <v>0</v>
      </c>
      <c r="H146" s="1" t="e">
        <f t="shared" si="20"/>
        <v>#DIV/0!</v>
      </c>
      <c r="I146" s="2" t="e">
        <f t="shared" si="21"/>
        <v>#DIV/0!</v>
      </c>
      <c r="K146" s="1"/>
      <c r="L146" s="1"/>
      <c r="M146" s="1">
        <f t="shared" si="22"/>
        <v>0</v>
      </c>
      <c r="N146" s="1">
        <f t="shared" si="23"/>
        <v>0</v>
      </c>
      <c r="O146" s="1" t="e">
        <f t="shared" si="24"/>
        <v>#DIV/0!</v>
      </c>
      <c r="P146" s="2" t="e">
        <f t="shared" si="25"/>
        <v>#DIV/0!</v>
      </c>
      <c r="Q146" t="e">
        <f t="shared" si="26"/>
        <v>#DIV/0!</v>
      </c>
    </row>
    <row r="147" spans="1:17" x14ac:dyDescent="0.3">
      <c r="A147" s="1"/>
      <c r="B147" s="1"/>
      <c r="D147" s="1"/>
      <c r="E147" s="1"/>
      <c r="F147" s="1">
        <f t="shared" si="18"/>
        <v>0</v>
      </c>
      <c r="G147" s="1">
        <f t="shared" si="19"/>
        <v>0</v>
      </c>
      <c r="H147" s="1" t="e">
        <f t="shared" si="20"/>
        <v>#DIV/0!</v>
      </c>
      <c r="I147" s="2" t="e">
        <f t="shared" si="21"/>
        <v>#DIV/0!</v>
      </c>
      <c r="K147" s="1"/>
      <c r="L147" s="1"/>
      <c r="M147" s="1">
        <f t="shared" si="22"/>
        <v>0</v>
      </c>
      <c r="N147" s="1">
        <f t="shared" si="23"/>
        <v>0</v>
      </c>
      <c r="O147" s="1" t="e">
        <f t="shared" si="24"/>
        <v>#DIV/0!</v>
      </c>
      <c r="P147" s="2" t="e">
        <f t="shared" si="25"/>
        <v>#DIV/0!</v>
      </c>
      <c r="Q147" t="e">
        <f t="shared" si="26"/>
        <v>#DIV/0!</v>
      </c>
    </row>
    <row r="148" spans="1:17" x14ac:dyDescent="0.3">
      <c r="A148" s="1"/>
      <c r="B148" s="1"/>
      <c r="D148" s="1"/>
      <c r="E148" s="1"/>
      <c r="F148" s="1">
        <f t="shared" si="18"/>
        <v>0</v>
      </c>
      <c r="G148" s="1">
        <f t="shared" si="19"/>
        <v>0</v>
      </c>
      <c r="H148" s="1" t="e">
        <f t="shared" si="20"/>
        <v>#DIV/0!</v>
      </c>
      <c r="I148" s="2" t="e">
        <f t="shared" si="21"/>
        <v>#DIV/0!</v>
      </c>
      <c r="K148" s="1"/>
      <c r="L148" s="1"/>
      <c r="M148" s="1">
        <f t="shared" si="22"/>
        <v>0</v>
      </c>
      <c r="N148" s="1">
        <f t="shared" si="23"/>
        <v>0</v>
      </c>
      <c r="O148" s="1" t="e">
        <f t="shared" si="24"/>
        <v>#DIV/0!</v>
      </c>
      <c r="P148" s="2" t="e">
        <f t="shared" si="25"/>
        <v>#DIV/0!</v>
      </c>
      <c r="Q148" t="e">
        <f t="shared" si="26"/>
        <v>#DIV/0!</v>
      </c>
    </row>
    <row r="149" spans="1:17" x14ac:dyDescent="0.3">
      <c r="A149" s="1"/>
      <c r="B149" s="1"/>
      <c r="D149" s="1"/>
      <c r="E149" s="1"/>
      <c r="F149" s="1">
        <f t="shared" si="18"/>
        <v>0</v>
      </c>
      <c r="G149" s="1">
        <f t="shared" si="19"/>
        <v>0</v>
      </c>
      <c r="H149" s="1" t="e">
        <f t="shared" si="20"/>
        <v>#DIV/0!</v>
      </c>
      <c r="I149" s="2" t="e">
        <f t="shared" si="21"/>
        <v>#DIV/0!</v>
      </c>
      <c r="K149" s="1"/>
      <c r="L149" s="1"/>
      <c r="M149" s="1">
        <f t="shared" si="22"/>
        <v>0</v>
      </c>
      <c r="N149" s="1">
        <f t="shared" si="23"/>
        <v>0</v>
      </c>
      <c r="O149" s="1" t="e">
        <f t="shared" si="24"/>
        <v>#DIV/0!</v>
      </c>
      <c r="P149" s="2" t="e">
        <f t="shared" si="25"/>
        <v>#DIV/0!</v>
      </c>
      <c r="Q149" t="e">
        <f t="shared" si="26"/>
        <v>#DIV/0!</v>
      </c>
    </row>
    <row r="150" spans="1:17" x14ac:dyDescent="0.3">
      <c r="A150" s="1"/>
      <c r="B150" s="1"/>
      <c r="D150" s="1"/>
      <c r="E150" s="1"/>
      <c r="F150" s="1">
        <f t="shared" si="18"/>
        <v>0</v>
      </c>
      <c r="G150" s="1">
        <f t="shared" si="19"/>
        <v>0</v>
      </c>
      <c r="H150" s="1" t="e">
        <f t="shared" si="20"/>
        <v>#DIV/0!</v>
      </c>
      <c r="I150" s="2" t="e">
        <f t="shared" si="21"/>
        <v>#DIV/0!</v>
      </c>
      <c r="K150" s="1"/>
      <c r="L150" s="1"/>
      <c r="M150" s="1">
        <f t="shared" si="22"/>
        <v>0</v>
      </c>
      <c r="N150" s="1">
        <f t="shared" si="23"/>
        <v>0</v>
      </c>
      <c r="O150" s="1" t="e">
        <f t="shared" si="24"/>
        <v>#DIV/0!</v>
      </c>
      <c r="P150" s="2" t="e">
        <f t="shared" si="25"/>
        <v>#DIV/0!</v>
      </c>
      <c r="Q150" t="e">
        <f t="shared" si="26"/>
        <v>#DIV/0!</v>
      </c>
    </row>
    <row r="151" spans="1:17" x14ac:dyDescent="0.3">
      <c r="A151" s="1"/>
      <c r="B151" s="1"/>
      <c r="D151" s="1"/>
      <c r="E151" s="1"/>
      <c r="F151" s="1">
        <f t="shared" si="18"/>
        <v>0</v>
      </c>
      <c r="G151" s="1">
        <f t="shared" si="19"/>
        <v>0</v>
      </c>
      <c r="H151" s="1" t="e">
        <f t="shared" si="20"/>
        <v>#DIV/0!</v>
      </c>
      <c r="I151" s="2" t="e">
        <f t="shared" si="21"/>
        <v>#DIV/0!</v>
      </c>
      <c r="K151" s="1"/>
      <c r="L151" s="1"/>
      <c r="M151" s="1">
        <f t="shared" si="22"/>
        <v>0</v>
      </c>
      <c r="N151" s="1">
        <f t="shared" si="23"/>
        <v>0</v>
      </c>
      <c r="O151" s="1" t="e">
        <f t="shared" si="24"/>
        <v>#DIV/0!</v>
      </c>
      <c r="P151" s="2" t="e">
        <f t="shared" si="25"/>
        <v>#DIV/0!</v>
      </c>
      <c r="Q151" t="e">
        <f t="shared" si="26"/>
        <v>#DIV/0!</v>
      </c>
    </row>
    <row r="152" spans="1:17" x14ac:dyDescent="0.3">
      <c r="A152" s="1"/>
      <c r="B152" s="1"/>
      <c r="D152" s="1"/>
      <c r="E152" s="1"/>
      <c r="F152" s="1">
        <f t="shared" si="18"/>
        <v>0</v>
      </c>
      <c r="G152" s="1">
        <f t="shared" si="19"/>
        <v>0</v>
      </c>
      <c r="H152" s="1" t="e">
        <f t="shared" si="20"/>
        <v>#DIV/0!</v>
      </c>
      <c r="I152" s="2" t="e">
        <f t="shared" si="21"/>
        <v>#DIV/0!</v>
      </c>
      <c r="K152" s="1"/>
      <c r="L152" s="1"/>
      <c r="M152" s="1">
        <f t="shared" si="22"/>
        <v>0</v>
      </c>
      <c r="N152" s="1">
        <f t="shared" si="23"/>
        <v>0</v>
      </c>
      <c r="O152" s="1" t="e">
        <f t="shared" si="24"/>
        <v>#DIV/0!</v>
      </c>
      <c r="P152" s="2" t="e">
        <f t="shared" si="25"/>
        <v>#DIV/0!</v>
      </c>
      <c r="Q152" t="e">
        <f t="shared" si="26"/>
        <v>#DIV/0!</v>
      </c>
    </row>
    <row r="153" spans="1:17" x14ac:dyDescent="0.3">
      <c r="A153" s="1"/>
      <c r="B153" s="1"/>
      <c r="D153" s="1"/>
      <c r="E153" s="1"/>
      <c r="F153" s="1">
        <f t="shared" si="18"/>
        <v>0</v>
      </c>
      <c r="G153" s="1">
        <f t="shared" si="19"/>
        <v>0</v>
      </c>
      <c r="H153" s="1" t="e">
        <f t="shared" si="20"/>
        <v>#DIV/0!</v>
      </c>
      <c r="I153" s="2" t="e">
        <f t="shared" si="21"/>
        <v>#DIV/0!</v>
      </c>
      <c r="K153" s="1"/>
      <c r="L153" s="1"/>
      <c r="M153" s="1">
        <f t="shared" si="22"/>
        <v>0</v>
      </c>
      <c r="N153" s="1">
        <f t="shared" si="23"/>
        <v>0</v>
      </c>
      <c r="O153" s="1" t="e">
        <f t="shared" si="24"/>
        <v>#DIV/0!</v>
      </c>
      <c r="P153" s="2" t="e">
        <f t="shared" si="25"/>
        <v>#DIV/0!</v>
      </c>
      <c r="Q153" t="e">
        <f t="shared" si="26"/>
        <v>#DIV/0!</v>
      </c>
    </row>
    <row r="154" spans="1:17" x14ac:dyDescent="0.3">
      <c r="A154" s="1"/>
      <c r="B154" s="1"/>
      <c r="D154" s="1"/>
      <c r="E154" s="1"/>
      <c r="F154" s="1">
        <f t="shared" si="18"/>
        <v>0</v>
      </c>
      <c r="G154" s="1">
        <f t="shared" si="19"/>
        <v>0</v>
      </c>
      <c r="H154" s="1" t="e">
        <f t="shared" si="20"/>
        <v>#DIV/0!</v>
      </c>
      <c r="I154" s="2" t="e">
        <f t="shared" si="21"/>
        <v>#DIV/0!</v>
      </c>
      <c r="K154" s="1"/>
      <c r="L154" s="1"/>
      <c r="M154" s="1">
        <f t="shared" si="22"/>
        <v>0</v>
      </c>
      <c r="N154" s="1">
        <f t="shared" si="23"/>
        <v>0</v>
      </c>
      <c r="O154" s="1" t="e">
        <f t="shared" si="24"/>
        <v>#DIV/0!</v>
      </c>
      <c r="P154" s="2" t="e">
        <f t="shared" si="25"/>
        <v>#DIV/0!</v>
      </c>
      <c r="Q154" t="e">
        <f t="shared" si="26"/>
        <v>#DIV/0!</v>
      </c>
    </row>
    <row r="155" spans="1:17" x14ac:dyDescent="0.3">
      <c r="A155" s="1"/>
      <c r="B155" s="1"/>
      <c r="D155" s="1"/>
      <c r="E155" s="1"/>
      <c r="F155" s="1">
        <f t="shared" si="18"/>
        <v>0</v>
      </c>
      <c r="G155" s="1">
        <f t="shared" si="19"/>
        <v>0</v>
      </c>
      <c r="H155" s="1" t="e">
        <f t="shared" si="20"/>
        <v>#DIV/0!</v>
      </c>
      <c r="I155" s="2" t="e">
        <f t="shared" si="21"/>
        <v>#DIV/0!</v>
      </c>
      <c r="K155" s="1"/>
      <c r="L155" s="1"/>
      <c r="M155" s="1">
        <f t="shared" si="22"/>
        <v>0</v>
      </c>
      <c r="N155" s="1">
        <f t="shared" si="23"/>
        <v>0</v>
      </c>
      <c r="O155" s="1" t="e">
        <f t="shared" si="24"/>
        <v>#DIV/0!</v>
      </c>
      <c r="P155" s="2" t="e">
        <f t="shared" si="25"/>
        <v>#DIV/0!</v>
      </c>
      <c r="Q155" t="e">
        <f t="shared" si="26"/>
        <v>#DIV/0!</v>
      </c>
    </row>
    <row r="156" spans="1:17" x14ac:dyDescent="0.3">
      <c r="A156" s="1"/>
      <c r="B156" s="1"/>
      <c r="D156" s="1"/>
      <c r="E156" s="1"/>
      <c r="F156" s="1">
        <f t="shared" si="18"/>
        <v>0</v>
      </c>
      <c r="G156" s="1">
        <f t="shared" si="19"/>
        <v>0</v>
      </c>
      <c r="H156" s="1" t="e">
        <f t="shared" si="20"/>
        <v>#DIV/0!</v>
      </c>
      <c r="I156" s="2" t="e">
        <f t="shared" si="21"/>
        <v>#DIV/0!</v>
      </c>
      <c r="K156" s="1"/>
      <c r="L156" s="1"/>
      <c r="M156" s="1">
        <f t="shared" si="22"/>
        <v>0</v>
      </c>
      <c r="N156" s="1">
        <f t="shared" si="23"/>
        <v>0</v>
      </c>
      <c r="O156" s="1" t="e">
        <f t="shared" si="24"/>
        <v>#DIV/0!</v>
      </c>
      <c r="P156" s="2" t="e">
        <f t="shared" si="25"/>
        <v>#DIV/0!</v>
      </c>
      <c r="Q156" t="e">
        <f t="shared" si="26"/>
        <v>#DIV/0!</v>
      </c>
    </row>
    <row r="157" spans="1:17" x14ac:dyDescent="0.3">
      <c r="A157" s="1"/>
      <c r="B157" s="1"/>
      <c r="D157" s="1"/>
      <c r="E157" s="1"/>
      <c r="F157" s="1">
        <f t="shared" si="18"/>
        <v>0</v>
      </c>
      <c r="G157" s="1">
        <f t="shared" si="19"/>
        <v>0</v>
      </c>
      <c r="H157" s="1" t="e">
        <f t="shared" si="20"/>
        <v>#DIV/0!</v>
      </c>
      <c r="I157" s="2" t="e">
        <f t="shared" si="21"/>
        <v>#DIV/0!</v>
      </c>
      <c r="K157" s="1"/>
      <c r="L157" s="1"/>
      <c r="M157" s="1">
        <f t="shared" si="22"/>
        <v>0</v>
      </c>
      <c r="N157" s="1">
        <f t="shared" si="23"/>
        <v>0</v>
      </c>
      <c r="O157" s="1" t="e">
        <f t="shared" si="24"/>
        <v>#DIV/0!</v>
      </c>
      <c r="P157" s="2" t="e">
        <f t="shared" si="25"/>
        <v>#DIV/0!</v>
      </c>
      <c r="Q157" t="e">
        <f t="shared" si="26"/>
        <v>#DIV/0!</v>
      </c>
    </row>
    <row r="158" spans="1:17" x14ac:dyDescent="0.3">
      <c r="A158" s="1"/>
      <c r="B158" s="1"/>
      <c r="D158" s="1"/>
      <c r="E158" s="1"/>
      <c r="F158" s="1">
        <f t="shared" si="18"/>
        <v>0</v>
      </c>
      <c r="G158" s="1">
        <f t="shared" si="19"/>
        <v>0</v>
      </c>
      <c r="H158" s="1" t="e">
        <f t="shared" si="20"/>
        <v>#DIV/0!</v>
      </c>
      <c r="I158" s="2" t="e">
        <f t="shared" si="21"/>
        <v>#DIV/0!</v>
      </c>
      <c r="K158" s="1"/>
      <c r="L158" s="1"/>
      <c r="M158" s="1">
        <f t="shared" si="22"/>
        <v>0</v>
      </c>
      <c r="N158" s="1">
        <f t="shared" si="23"/>
        <v>0</v>
      </c>
      <c r="O158" s="1" t="e">
        <f t="shared" si="24"/>
        <v>#DIV/0!</v>
      </c>
      <c r="P158" s="2" t="e">
        <f t="shared" si="25"/>
        <v>#DIV/0!</v>
      </c>
      <c r="Q158" t="e">
        <f t="shared" si="26"/>
        <v>#DIV/0!</v>
      </c>
    </row>
    <row r="159" spans="1:17" x14ac:dyDescent="0.3">
      <c r="A159" s="1"/>
      <c r="B159" s="1"/>
      <c r="D159" s="1"/>
      <c r="E159" s="1"/>
      <c r="F159" s="1">
        <f t="shared" si="18"/>
        <v>0</v>
      </c>
      <c r="G159" s="1">
        <f t="shared" si="19"/>
        <v>0</v>
      </c>
      <c r="H159" s="1" t="e">
        <f t="shared" si="20"/>
        <v>#DIV/0!</v>
      </c>
      <c r="I159" s="2" t="e">
        <f t="shared" si="21"/>
        <v>#DIV/0!</v>
      </c>
      <c r="K159" s="1"/>
      <c r="L159" s="1"/>
      <c r="M159" s="1">
        <f t="shared" si="22"/>
        <v>0</v>
      </c>
      <c r="N159" s="1">
        <f t="shared" si="23"/>
        <v>0</v>
      </c>
      <c r="O159" s="1" t="e">
        <f t="shared" si="24"/>
        <v>#DIV/0!</v>
      </c>
      <c r="P159" s="2" t="e">
        <f t="shared" si="25"/>
        <v>#DIV/0!</v>
      </c>
      <c r="Q159" t="e">
        <f t="shared" si="26"/>
        <v>#DIV/0!</v>
      </c>
    </row>
    <row r="160" spans="1:17" x14ac:dyDescent="0.3">
      <c r="A160" s="1"/>
      <c r="B160" s="1"/>
      <c r="D160" s="1"/>
      <c r="E160" s="1"/>
      <c r="F160" s="1">
        <f t="shared" si="18"/>
        <v>0</v>
      </c>
      <c r="G160" s="1">
        <f t="shared" si="19"/>
        <v>0</v>
      </c>
      <c r="H160" s="1" t="e">
        <f t="shared" si="20"/>
        <v>#DIV/0!</v>
      </c>
      <c r="I160" s="2" t="e">
        <f t="shared" si="21"/>
        <v>#DIV/0!</v>
      </c>
      <c r="K160" s="1"/>
      <c r="L160" s="1"/>
      <c r="M160" s="1">
        <f t="shared" si="22"/>
        <v>0</v>
      </c>
      <c r="N160" s="1">
        <f t="shared" si="23"/>
        <v>0</v>
      </c>
      <c r="O160" s="1" t="e">
        <f t="shared" si="24"/>
        <v>#DIV/0!</v>
      </c>
      <c r="P160" s="2" t="e">
        <f t="shared" si="25"/>
        <v>#DIV/0!</v>
      </c>
      <c r="Q160" t="e">
        <f t="shared" si="26"/>
        <v>#DIV/0!</v>
      </c>
    </row>
    <row r="161" spans="1:17" x14ac:dyDescent="0.3">
      <c r="A161" s="1"/>
      <c r="B161" s="1"/>
      <c r="D161" s="1"/>
      <c r="E161" s="1"/>
      <c r="F161" s="1">
        <f t="shared" si="18"/>
        <v>0</v>
      </c>
      <c r="G161" s="1">
        <f t="shared" si="19"/>
        <v>0</v>
      </c>
      <c r="H161" s="1" t="e">
        <f t="shared" si="20"/>
        <v>#DIV/0!</v>
      </c>
      <c r="I161" s="2" t="e">
        <f t="shared" si="21"/>
        <v>#DIV/0!</v>
      </c>
      <c r="K161" s="1"/>
      <c r="L161" s="1"/>
      <c r="M161" s="1">
        <f t="shared" si="22"/>
        <v>0</v>
      </c>
      <c r="N161" s="1">
        <f t="shared" si="23"/>
        <v>0</v>
      </c>
      <c r="O161" s="1" t="e">
        <f t="shared" si="24"/>
        <v>#DIV/0!</v>
      </c>
      <c r="P161" s="2" t="e">
        <f t="shared" si="25"/>
        <v>#DIV/0!</v>
      </c>
      <c r="Q161" t="e">
        <f t="shared" si="26"/>
        <v>#DIV/0!</v>
      </c>
    </row>
    <row r="162" spans="1:17" x14ac:dyDescent="0.3">
      <c r="A162" s="1"/>
      <c r="B162" s="1"/>
      <c r="D162" s="1"/>
      <c r="E162" s="1"/>
      <c r="F162" s="1">
        <f t="shared" si="18"/>
        <v>0</v>
      </c>
      <c r="G162" s="1">
        <f t="shared" si="19"/>
        <v>0</v>
      </c>
      <c r="H162" s="1" t="e">
        <f t="shared" si="20"/>
        <v>#DIV/0!</v>
      </c>
      <c r="I162" s="2" t="e">
        <f t="shared" si="21"/>
        <v>#DIV/0!</v>
      </c>
      <c r="K162" s="1"/>
      <c r="L162" s="1"/>
      <c r="M162" s="1">
        <f t="shared" si="22"/>
        <v>0</v>
      </c>
      <c r="N162" s="1">
        <f t="shared" si="23"/>
        <v>0</v>
      </c>
      <c r="O162" s="1" t="e">
        <f t="shared" si="24"/>
        <v>#DIV/0!</v>
      </c>
      <c r="P162" s="2" t="e">
        <f t="shared" si="25"/>
        <v>#DIV/0!</v>
      </c>
      <c r="Q162" t="e">
        <f t="shared" si="26"/>
        <v>#DIV/0!</v>
      </c>
    </row>
    <row r="163" spans="1:17" x14ac:dyDescent="0.3">
      <c r="A163" s="1"/>
      <c r="B163" s="1"/>
      <c r="D163" s="1"/>
      <c r="E163" s="1"/>
      <c r="F163" s="1">
        <f t="shared" si="18"/>
        <v>0</v>
      </c>
      <c r="G163" s="1">
        <f t="shared" si="19"/>
        <v>0</v>
      </c>
      <c r="H163" s="1" t="e">
        <f t="shared" si="20"/>
        <v>#DIV/0!</v>
      </c>
      <c r="I163" s="2" t="e">
        <f t="shared" si="21"/>
        <v>#DIV/0!</v>
      </c>
      <c r="K163" s="1"/>
      <c r="L163" s="1"/>
      <c r="M163" s="1">
        <f t="shared" si="22"/>
        <v>0</v>
      </c>
      <c r="N163" s="1">
        <f t="shared" si="23"/>
        <v>0</v>
      </c>
      <c r="O163" s="1" t="e">
        <f t="shared" si="24"/>
        <v>#DIV/0!</v>
      </c>
      <c r="P163" s="2" t="e">
        <f t="shared" si="25"/>
        <v>#DIV/0!</v>
      </c>
      <c r="Q163" t="e">
        <f t="shared" si="26"/>
        <v>#DIV/0!</v>
      </c>
    </row>
    <row r="164" spans="1:17" x14ac:dyDescent="0.3">
      <c r="A164" s="1"/>
      <c r="B164" s="1"/>
      <c r="D164" s="1"/>
      <c r="E164" s="1"/>
      <c r="F164" s="1">
        <f t="shared" si="18"/>
        <v>0</v>
      </c>
      <c r="G164" s="1">
        <f t="shared" si="19"/>
        <v>0</v>
      </c>
      <c r="H164" s="1" t="e">
        <f t="shared" si="20"/>
        <v>#DIV/0!</v>
      </c>
      <c r="I164" s="2" t="e">
        <f t="shared" si="21"/>
        <v>#DIV/0!</v>
      </c>
      <c r="K164" s="1"/>
      <c r="L164" s="1"/>
      <c r="M164" s="1">
        <f t="shared" si="22"/>
        <v>0</v>
      </c>
      <c r="N164" s="1">
        <f t="shared" si="23"/>
        <v>0</v>
      </c>
      <c r="O164" s="1" t="e">
        <f t="shared" si="24"/>
        <v>#DIV/0!</v>
      </c>
      <c r="P164" s="2" t="e">
        <f t="shared" si="25"/>
        <v>#DIV/0!</v>
      </c>
      <c r="Q164" t="e">
        <f t="shared" si="26"/>
        <v>#DIV/0!</v>
      </c>
    </row>
    <row r="165" spans="1:17" x14ac:dyDescent="0.3">
      <c r="A165" s="1"/>
      <c r="B165" s="1"/>
      <c r="D165" s="1"/>
      <c r="E165" s="1"/>
      <c r="F165" s="1">
        <f t="shared" si="18"/>
        <v>0</v>
      </c>
      <c r="G165" s="1">
        <f t="shared" si="19"/>
        <v>0</v>
      </c>
      <c r="H165" s="1" t="e">
        <f t="shared" si="20"/>
        <v>#DIV/0!</v>
      </c>
      <c r="I165" s="2" t="e">
        <f t="shared" si="21"/>
        <v>#DIV/0!</v>
      </c>
      <c r="K165" s="1"/>
      <c r="L165" s="1"/>
      <c r="M165" s="1">
        <f t="shared" si="22"/>
        <v>0</v>
      </c>
      <c r="N165" s="1">
        <f t="shared" si="23"/>
        <v>0</v>
      </c>
      <c r="O165" s="1" t="e">
        <f t="shared" si="24"/>
        <v>#DIV/0!</v>
      </c>
      <c r="P165" s="2" t="e">
        <f t="shared" si="25"/>
        <v>#DIV/0!</v>
      </c>
      <c r="Q165" t="e">
        <f t="shared" si="26"/>
        <v>#DIV/0!</v>
      </c>
    </row>
    <row r="166" spans="1:17" x14ac:dyDescent="0.3">
      <c r="A166" s="1"/>
      <c r="B166" s="1"/>
      <c r="D166" s="1"/>
      <c r="E166" s="1"/>
      <c r="F166" s="1">
        <f t="shared" si="18"/>
        <v>0</v>
      </c>
      <c r="G166" s="1">
        <f t="shared" si="19"/>
        <v>0</v>
      </c>
      <c r="H166" s="1" t="e">
        <f t="shared" si="20"/>
        <v>#DIV/0!</v>
      </c>
      <c r="I166" s="2" t="e">
        <f t="shared" si="21"/>
        <v>#DIV/0!</v>
      </c>
      <c r="K166" s="1"/>
      <c r="L166" s="1"/>
      <c r="M166" s="1">
        <f t="shared" si="22"/>
        <v>0</v>
      </c>
      <c r="N166" s="1">
        <f t="shared" si="23"/>
        <v>0</v>
      </c>
      <c r="O166" s="1" t="e">
        <f t="shared" si="24"/>
        <v>#DIV/0!</v>
      </c>
      <c r="P166" s="2" t="e">
        <f t="shared" si="25"/>
        <v>#DIV/0!</v>
      </c>
      <c r="Q166" t="e">
        <f t="shared" si="26"/>
        <v>#DIV/0!</v>
      </c>
    </row>
    <row r="167" spans="1:17" x14ac:dyDescent="0.3">
      <c r="A167" s="1"/>
      <c r="B167" s="1"/>
      <c r="D167" s="1"/>
      <c r="E167" s="1"/>
      <c r="F167" s="1">
        <f t="shared" si="18"/>
        <v>0</v>
      </c>
      <c r="G167" s="1">
        <f t="shared" si="19"/>
        <v>0</v>
      </c>
      <c r="H167" s="1" t="e">
        <f t="shared" si="20"/>
        <v>#DIV/0!</v>
      </c>
      <c r="I167" s="2" t="e">
        <f t="shared" si="21"/>
        <v>#DIV/0!</v>
      </c>
      <c r="K167" s="1"/>
      <c r="L167" s="1"/>
      <c r="M167" s="1">
        <f t="shared" si="22"/>
        <v>0</v>
      </c>
      <c r="N167" s="1">
        <f t="shared" si="23"/>
        <v>0</v>
      </c>
      <c r="O167" s="1" t="e">
        <f t="shared" si="24"/>
        <v>#DIV/0!</v>
      </c>
      <c r="P167" s="2" t="e">
        <f t="shared" si="25"/>
        <v>#DIV/0!</v>
      </c>
      <c r="Q167" t="e">
        <f t="shared" si="26"/>
        <v>#DIV/0!</v>
      </c>
    </row>
    <row r="168" spans="1:17" x14ac:dyDescent="0.3">
      <c r="A168" s="1"/>
      <c r="B168" s="1"/>
      <c r="D168" s="1"/>
      <c r="E168" s="1"/>
      <c r="F168" s="1">
        <f t="shared" si="18"/>
        <v>0</v>
      </c>
      <c r="G168" s="1">
        <f t="shared" si="19"/>
        <v>0</v>
      </c>
      <c r="H168" s="1" t="e">
        <f t="shared" si="20"/>
        <v>#DIV/0!</v>
      </c>
      <c r="I168" s="2" t="e">
        <f t="shared" si="21"/>
        <v>#DIV/0!</v>
      </c>
      <c r="K168" s="1"/>
      <c r="L168" s="1"/>
      <c r="M168" s="1">
        <f t="shared" si="22"/>
        <v>0</v>
      </c>
      <c r="N168" s="1">
        <f t="shared" si="23"/>
        <v>0</v>
      </c>
      <c r="O168" s="1" t="e">
        <f t="shared" si="24"/>
        <v>#DIV/0!</v>
      </c>
      <c r="P168" s="2" t="e">
        <f t="shared" si="25"/>
        <v>#DIV/0!</v>
      </c>
      <c r="Q168" t="e">
        <f t="shared" si="26"/>
        <v>#DIV/0!</v>
      </c>
    </row>
  </sheetData>
  <mergeCells count="3">
    <mergeCell ref="A1:B1"/>
    <mergeCell ref="K1:P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Calculs_scale_law</vt:lpstr>
      <vt:lpstr>Slope_W_vs_E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Belissa</dc:creator>
  <cp:lastModifiedBy>Victor Belissa</cp:lastModifiedBy>
  <dcterms:created xsi:type="dcterms:W3CDTF">2025-01-14T09:52:14Z</dcterms:created>
  <dcterms:modified xsi:type="dcterms:W3CDTF">2026-07-21T08:39:57Z</dcterms:modified>
</cp:coreProperties>
</file>